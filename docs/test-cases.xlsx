
<file path=[Content_Types].xml><?xml version="1.0" encoding="utf-8"?>
<Types xmlns="http://schemas.openxmlformats.org/package/2006/content-types">
  <Default Extension="rels" ContentType="application/vnd.openxmlformats-package.relationships+xml"/>
  <Default Extension="xml" ContentType="application/xml"/>
  <Default Extension="vml" ContentType="application/vnd.openxmlformats-officedocument.vmlDrawing"/>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comments/comment1.xml" ContentType="application/vnd.openxmlformats-officedocument.spreadsheetml.comments+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28680" yWindow="-120" windowWidth="29040" windowHeight="15720" tabRatio="600" firstSheet="0" activeTab="0" autoFilterDateGrouping="1"/>
  </bookViews>
  <sheets>
    <sheet name="README" sheetId="1" state="visible" r:id="rId1"/>
    <sheet name="Test Plan" sheetId="2" state="visible" r:id="rId2"/>
    <sheet name="Glossary" sheetId="3" state="visible" r:id="rId3"/>
    <sheet name="Test Cases" sheetId="4" state="visible" r:id="rId4"/>
    <sheet name="Test Data" sheetId="5" state="visible" r:id="rId5"/>
    <sheet name="Business Rules" sheetId="6" state="visible" r:id="rId6"/>
    <sheet name="Coverage Summary" sheetId="7" state="visible" r:id="rId7"/>
    <sheet name="Defect Log" sheetId="8" state="visible" r:id="rId8"/>
    <sheet name="Changelog" sheetId="9" state="visible" r:id="rId9"/>
  </sheets>
  <definedNames>
    <definedName name="_xlnm._FilterDatabase" localSheetId="3" hidden="1">'Test Cases'!$A$1:$X$176</definedName>
    <definedName name="_xlnm._FilterDatabase" localSheetId="7" hidden="1">'Defect Log'!$A$1:$R$200</definedName>
  </definedNames>
  <calcPr calcId="191029" fullCalcOnLoad="1"/>
</workbook>
</file>

<file path=xl/styles.xml><?xml version="1.0" encoding="utf-8"?>
<styleSheet xmlns="http://schemas.openxmlformats.org/spreadsheetml/2006/main">
  <numFmts count="1">
    <numFmt numFmtId="164" formatCode="0.0%"/>
  </numFmts>
  <fonts count="13">
    <font>
      <name val="Calibri"/>
      <family val="2"/>
      <color theme="1"/>
      <sz val="11"/>
      <scheme val="minor"/>
    </font>
    <font>
      <name val="Arial"/>
      <b val="1"/>
      <color rgb="FFFFFFFF"/>
      <sz val="10"/>
    </font>
    <font>
      <name val="Arial"/>
      <b val="1"/>
      <sz val="9"/>
    </font>
    <font>
      <name val="Arial"/>
      <sz val="9"/>
    </font>
    <font>
      <name val="Arial"/>
      <b val="1"/>
      <strike val="1"/>
      <sz val="9"/>
    </font>
    <font>
      <name val="Arial"/>
      <strike val="1"/>
      <sz val="9"/>
    </font>
    <font>
      <name val="Arial"/>
      <b val="1"/>
      <color rgb="FF1F3864"/>
      <sz val="15"/>
    </font>
    <font>
      <name val="Arial"/>
      <color rgb="FF595959"/>
      <sz val="9"/>
    </font>
    <font>
      <name val="Arial"/>
      <b val="1"/>
      <color rgb="FF1F3864"/>
      <sz val="10"/>
    </font>
    <font>
      <name val="Arial"/>
      <b val="1"/>
      <sz val="10"/>
    </font>
    <font>
      <name val="Arial"/>
      <sz val="10"/>
    </font>
    <font>
      <name val="Arial"/>
      <b val="1"/>
      <sz val="10"/>
    </font>
    <font>
      <name val="Arial"/>
      <b val="1"/>
      <color rgb="FFC00000"/>
      <sz val="9"/>
    </font>
  </fonts>
  <fills count="7">
    <fill>
      <patternFill/>
    </fill>
    <fill>
      <patternFill patternType="gray125"/>
    </fill>
    <fill>
      <patternFill patternType="solid">
        <fgColor rgb="FF1F3864"/>
      </patternFill>
    </fill>
    <fill>
      <patternFill patternType="solid">
        <fgColor rgb="FFC55A11"/>
      </patternFill>
    </fill>
    <fill>
      <patternFill patternType="solid">
        <fgColor rgb="FFFFF9E6"/>
      </patternFill>
    </fill>
    <fill>
      <patternFill patternType="solid">
        <fgColor rgb="FF2E5C8A"/>
      </patternFill>
    </fill>
    <fill>
      <patternFill patternType="solid">
        <fgColor rgb="FFFFF2CC"/>
      </patternFill>
    </fill>
  </fills>
  <borders count="6">
    <border>
      <left/>
      <right/>
      <top/>
      <bottom/>
      <diagonal/>
    </border>
    <border>
      <left style="thin">
        <color rgb="FFBFBFBF"/>
      </left>
      <right style="thin">
        <color rgb="FFBFBFBF"/>
      </right>
      <top style="thin">
        <color rgb="FFBFBFBF"/>
      </top>
      <bottom style="thin">
        <color rgb="FFBFBFBF"/>
      </bottom>
      <diagonal/>
    </border>
    <border>
      <left/>
      <right/>
      <top style="thin">
        <color rgb="FFBFBFBF"/>
      </top>
      <bottom style="thin">
        <color rgb="FFBFBFBF"/>
      </bottom>
      <diagonal/>
    </border>
    <border>
      <left/>
      <right style="thin">
        <color rgb="FFBFBFBF"/>
      </right>
      <top style="thin">
        <color rgb="FFBFBFBF"/>
      </top>
      <bottom style="thin">
        <color rgb="FFBFBFBF"/>
      </bottom>
      <diagonal/>
    </border>
    <border>
      <left/>
      <right/>
      <top style="thin">
        <color rgb="FFBFBFBF"/>
      </top>
      <bottom/>
      <diagonal/>
    </border>
    <border>
      <left/>
      <right style="thin">
        <color rgb="FFBFBFBF"/>
      </right>
      <top style="thin">
        <color rgb="FFBFBFBF"/>
      </top>
      <bottom/>
      <diagonal/>
    </border>
  </borders>
  <cellStyleXfs count="1">
    <xf numFmtId="0" fontId="0" fillId="0" borderId="0"/>
  </cellStyleXfs>
  <cellXfs count="29">
    <xf numFmtId="0" fontId="0" fillId="0" borderId="0" pivotButton="0" quotePrefix="0" xfId="0"/>
    <xf numFmtId="0" fontId="6" fillId="0" borderId="0" pivotButton="0" quotePrefix="0" xfId="0"/>
    <xf numFmtId="0" fontId="7" fillId="0" borderId="0" pivotButton="0" quotePrefix="0" xfId="0"/>
    <xf numFmtId="0" fontId="8" fillId="0" borderId="0" pivotButton="0" quotePrefix="0" xfId="0"/>
    <xf numFmtId="0" fontId="9" fillId="0" borderId="0" applyAlignment="1" pivotButton="0" quotePrefix="0" xfId="0">
      <alignment vertical="top" wrapText="1"/>
    </xf>
    <xf numFmtId="0" fontId="10" fillId="0" borderId="0" applyAlignment="1" pivotButton="0" quotePrefix="0" xfId="0">
      <alignment vertical="top" wrapText="1"/>
    </xf>
    <xf numFmtId="0" fontId="1" fillId="2" borderId="1" applyAlignment="1" pivotButton="0" quotePrefix="0" xfId="0">
      <alignment horizontal="left" vertical="center" wrapText="1"/>
    </xf>
    <xf numFmtId="0" fontId="1" fillId="5" borderId="1" pivotButton="0" quotePrefix="0" xfId="0"/>
    <xf numFmtId="0" fontId="0" fillId="5" borderId="1" pivotButton="0" quotePrefix="0" xfId="0"/>
    <xf numFmtId="0" fontId="11" fillId="0" borderId="1" applyAlignment="1" pivotButton="0" quotePrefix="0" xfId="0">
      <alignment vertical="top" wrapText="1"/>
    </xf>
    <xf numFmtId="0" fontId="3" fillId="0" borderId="1" applyAlignment="1" pivotButton="0" quotePrefix="0" xfId="0">
      <alignment vertical="top" wrapText="1"/>
    </xf>
    <xf numFmtId="0" fontId="1" fillId="3" borderId="1" applyAlignment="1" pivotButton="0" quotePrefix="0" xfId="0">
      <alignment horizontal="left" vertical="center" wrapText="1"/>
    </xf>
    <xf numFmtId="0" fontId="2" fillId="0" borderId="1" applyAlignment="1" pivotButton="0" quotePrefix="0" xfId="0">
      <alignment vertical="top" wrapText="1"/>
    </xf>
    <xf numFmtId="0" fontId="3" fillId="0" borderId="1" applyAlignment="1" pivotButton="0" quotePrefix="0" xfId="0">
      <alignment horizontal="center" vertical="center" wrapText="1"/>
    </xf>
    <xf numFmtId="0" fontId="3" fillId="4" borderId="1" applyAlignment="1" pivotButton="0" quotePrefix="0" xfId="0">
      <alignment horizontal="center" vertical="center" wrapText="1"/>
    </xf>
    <xf numFmtId="0" fontId="3" fillId="4" borderId="1" applyAlignment="1" pivotButton="0" quotePrefix="0" xfId="0">
      <alignment vertical="top" wrapText="1"/>
    </xf>
    <xf numFmtId="0" fontId="4" fillId="0" borderId="1" applyAlignment="1" pivotButton="0" quotePrefix="0" xfId="0">
      <alignment vertical="top" wrapText="1"/>
    </xf>
    <xf numFmtId="0" fontId="5" fillId="0" borderId="1" applyAlignment="1" pivotButton="0" quotePrefix="0" xfId="0">
      <alignment vertical="top" wrapText="1"/>
    </xf>
    <xf numFmtId="0" fontId="3" fillId="6" borderId="1" applyAlignment="1" pivotButton="0" quotePrefix="0" xfId="0">
      <alignment vertical="top" wrapText="1"/>
    </xf>
    <xf numFmtId="164" fontId="3" fillId="0" borderId="1" applyAlignment="1" pivotButton="0" quotePrefix="0" xfId="0">
      <alignment horizontal="center" vertical="center" wrapText="1"/>
    </xf>
    <xf numFmtId="3" fontId="3" fillId="0" borderId="1" applyAlignment="1" pivotButton="0" quotePrefix="0" xfId="0">
      <alignment horizontal="center" vertical="center" wrapText="1"/>
    </xf>
    <xf numFmtId="0" fontId="2" fillId="0" borderId="1" applyAlignment="1" pivotButton="0" quotePrefix="0" xfId="0">
      <alignment horizontal="center" vertical="center" wrapText="1"/>
    </xf>
    <xf numFmtId="164" fontId="2" fillId="0" borderId="1" applyAlignment="1" pivotButton="0" quotePrefix="0" xfId="0">
      <alignment horizontal="center" vertical="center" wrapText="1"/>
    </xf>
    <xf numFmtId="3" fontId="2" fillId="0" borderId="1" applyAlignment="1" pivotButton="0" quotePrefix="0" xfId="0">
      <alignment horizontal="center" vertical="center" wrapText="1"/>
    </xf>
    <xf numFmtId="0" fontId="12" fillId="0" borderId="0" pivotButton="0" quotePrefix="0" xfId="0"/>
    <xf numFmtId="0" fontId="3" fillId="0" borderId="1" applyAlignment="1" pivotButton="0" quotePrefix="0" xfId="0">
      <alignment vertical="top" wrapText="1"/>
    </xf>
    <xf numFmtId="0" fontId="0" fillId="0" borderId="2" pivotButton="0" quotePrefix="0" xfId="0"/>
    <xf numFmtId="0" fontId="0" fillId="0" borderId="3" pivotButton="0" quotePrefix="0" xfId="0"/>
    <xf numFmtId="0" fontId="11" fillId="0" borderId="0" applyAlignment="1" pivotButton="0" quotePrefix="0" xfId="0">
      <alignment vertical="top" wrapText="1"/>
    </xf>
  </cellXfs>
  <cellStyles count="1">
    <cellStyle name="Normal" xfId="0" builtinId="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worksheet" Target="/xl/worksheets/sheet8.xml" Id="rId8" /><Relationship Type="http://schemas.openxmlformats.org/officeDocument/2006/relationships/worksheet" Target="/xl/worksheets/sheet9.xml" Id="rId9" /><Relationship Type="http://schemas.openxmlformats.org/officeDocument/2006/relationships/styles" Target="styles.xml" Id="rId10" /><Relationship Type="http://schemas.openxmlformats.org/officeDocument/2006/relationships/theme" Target="theme/theme1.xml" Id="rId11" /></Relationships>
</file>

<file path=xl/comments/comment1.xml><?xml version="1.0" encoding="utf-8"?>
<comments xmlns="http://schemas.openxmlformats.org/spreadsheetml/2006/main">
  <authors>
    <author>QA</author>
  </authors>
  <commentList>
    <comment ref="T1" authorId="0" shapeId="0">
      <text>
        <t>Fill the orange-headed columns only. Result is a dropdown: Not Run / Pass / Fail / Blocked / Partial / N/A.</t>
      </text>
    </comment>
  </commentList>
</comment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4.xml.rels><Relationships xmlns="http://schemas.openxmlformats.org/package/2006/relationships"><Relationship Type="http://schemas.openxmlformats.org/officeDocument/2006/relationships/comments" Target="/xl/comments/comment1.xml" Id="comments" /><Relationship Type="http://schemas.openxmlformats.org/officeDocument/2006/relationships/vmlDrawing" Target="/xl/drawings/commentsDrawing1.vml" Id="anysvml" /></Relationships>
</file>

<file path=xl/worksheets/sheet1.xml><?xml version="1.0" encoding="utf-8"?>
<worksheet xmlns="http://schemas.openxmlformats.org/spreadsheetml/2006/main">
  <sheetPr>
    <outlinePr summaryBelow="1" summaryRight="1"/>
    <pageSetUpPr/>
  </sheetPr>
  <dimension ref="A1:B39"/>
  <sheetViews>
    <sheetView tabSelected="1" zoomScale="90" workbookViewId="0">
      <selection activeCell="A1" sqref="A1"/>
    </sheetView>
  </sheetViews>
  <sheetFormatPr baseColWidth="8" defaultRowHeight="15"/>
  <cols>
    <col width="22" customWidth="1" min="1" max="1"/>
    <col width="116" customWidth="1" min="2" max="2"/>
  </cols>
  <sheetData>
    <row r="1" ht="19.5" customHeight="1">
      <c r="A1" s="1" t="inlineStr">
        <is>
          <t>Musticker E2E Test Suite - Test Cases</t>
        </is>
      </c>
    </row>
    <row r="2">
      <c r="A2" s="2" t="inlineStr">
        <is>
          <t>Storefront (www.musticker.com/kr) + Admin panel (admin-panel.musticker.com) | Playwright + TypeScript | Workbook v1.4 | 2026-10-15</t>
        </is>
      </c>
    </row>
    <row r="3"/>
    <row r="4">
      <c r="A4" s="3" t="inlineStr">
        <is>
          <t>WHAT THIS WORKBOOK IS</t>
        </is>
      </c>
    </row>
    <row r="5" ht="38.25" customHeight="1">
      <c r="A5" s="4" t="n"/>
      <c r="B5" s="5" t="inlineStr">
        <is>
          <t>The test case source for the Musticker end-to-end suite in this repository. Every automated Playwright test maps to a row here by its ID (the test title starts with it), and planned tests that are not automated yet are listed too. Use it to see what is covered, to run cases by hand, and to record results and defects. It replaces the old test-case.md.</t>
        </is>
      </c>
    </row>
    <row r="6"/>
    <row r="7">
      <c r="A7" s="3" t="inlineStr">
        <is>
          <t>TABS</t>
        </is>
      </c>
    </row>
    <row r="8">
      <c r="A8" s="4" t="inlineStr">
        <is>
          <t>README</t>
        </is>
      </c>
      <c r="B8" s="5" t="inlineStr">
        <is>
          <t>This page. How to use the workbook.</t>
        </is>
      </c>
    </row>
    <row r="9">
      <c r="A9" s="4" t="inlineStr">
        <is>
          <t>Test Plan</t>
        </is>
      </c>
      <c r="B9" s="5" t="inlineStr">
        <is>
          <t>Scope, approach, environments, entry/exit criteria, risks and what is blocked.</t>
        </is>
      </c>
    </row>
    <row r="10">
      <c r="A10" s="4" t="inlineStr">
        <is>
          <t>Glossary</t>
        </is>
      </c>
      <c r="B10" s="5" t="inlineStr">
        <is>
          <t>Korean-English terms. The storefront and the admin statuses are Korean; test steps quote the Korean exactly as it appears on screen.</t>
        </is>
      </c>
    </row>
    <row r="11" ht="25.5" customHeight="1">
      <c r="A11" s="4" t="inlineStr">
        <is>
          <t>Test Cases</t>
        </is>
      </c>
      <c r="B11" s="5" t="inlineStr">
        <is>
          <t>175 cases across 15 areas: 142 automated (incl. partial), 30 planned, 3 withdrawn. Together the automated cases run 2,473 Playwright tests (pricing is data-driven: one row = many generated tests). The working tab.</t>
        </is>
      </c>
    </row>
    <row r="12">
      <c r="A12" s="4" t="inlineStr">
        <is>
          <t>Test Data</t>
        </is>
      </c>
      <c r="B12" s="5" t="inlineStr">
        <is>
          <t>Environments, accounts, products, files and values the cases use.</t>
        </is>
      </c>
    </row>
    <row r="13" ht="25.5" customHeight="1">
      <c r="A13" s="4" t="inlineStr">
        <is>
          <t>Business Rules</t>
        </is>
      </c>
      <c r="B13" s="5" t="inlineStr">
        <is>
          <t>Order and item lifecycle (who moves an order, with which button, to which status), sheet sticker packing, shipping. The authoritative reference when a case and the product disagree.</t>
        </is>
      </c>
    </row>
    <row r="14">
      <c r="A14" s="4" t="inlineStr">
        <is>
          <t>Coverage Summary</t>
        </is>
      </c>
      <c r="B14" s="5" t="inlineStr">
        <is>
          <t>Live dashboard. Every figure is a formula over the Test Cases tab.</t>
        </is>
      </c>
    </row>
    <row r="15">
      <c r="A15" s="4" t="inlineStr">
        <is>
          <t>Defect Log</t>
        </is>
      </c>
      <c r="B15" s="5" t="inlineStr">
        <is>
          <t>Defects found by this suite and by exploratory testing, with reproduction details.</t>
        </is>
      </c>
    </row>
    <row r="16">
      <c r="A16" s="4" t="inlineStr">
        <is>
          <t>Changelog</t>
        </is>
      </c>
      <c r="B16" s="5" t="inlineStr">
        <is>
          <t>What changed in the suite and in this workbook, and why.</t>
        </is>
      </c>
    </row>
    <row r="17"/>
    <row r="18">
      <c r="A18" s="3" t="inlineStr">
        <is>
          <t>HOW TO USE IT</t>
        </is>
      </c>
    </row>
    <row r="19" ht="25.5" customHeight="1">
      <c r="A19" s="4" t="inlineStr">
        <is>
          <t>1</t>
        </is>
      </c>
      <c r="B19" s="5" t="inlineStr">
        <is>
          <t>Filter the Test Cases tab by Area, Priority, App or Automation. Only the orange-headed columns (Result, Defect ID, Tester, Executed On, Tester Notes) are for you to fill in. The Legacy ID column (Y) shows the ID a case had before workbook v1.2 (MS-V2-### / MS-ADM-###); it is for reference only. Area is the module and Sub-Area is the suite: each suite is one Playwright spec file in that module's folder, and its test.describe title is the Sub-Area.</t>
        </is>
      </c>
    </row>
    <row r="20" ht="25.5" customHeight="1">
      <c r="A20" s="4" t="inlineStr">
        <is>
          <t>2</t>
        </is>
      </c>
      <c r="B20" s="5" t="inlineStr">
        <is>
          <t>Result is a dropdown: Not Run / Pass / Fail / Blocked / Partial / N/A. Do not type free text there - the Coverage Summary counts the exact values.</t>
        </is>
      </c>
    </row>
    <row r="21">
      <c r="A21" s="4" t="inlineStr">
        <is>
          <t>3</t>
        </is>
      </c>
      <c r="B21" s="5" t="inlineStr">
        <is>
          <t>Log every failure in the Defect Log and put its ID in the Defect ID column.</t>
        </is>
      </c>
    </row>
    <row r="22" ht="25.5" customHeight="1">
      <c r="A22" s="4" t="inlineStr">
        <is>
          <t>4</t>
        </is>
      </c>
      <c r="B22" s="5" t="inlineStr">
        <is>
          <t>Automation = Automated: run it with Playwright (npx playwright test -g "&lt;TC ID&gt;"). Partial: the automated test covers part of the case; Reference Notes says what to check by hand. Planned: not automated yet, run it by hand.</t>
        </is>
      </c>
    </row>
    <row r="23" ht="25.5" customHeight="1">
      <c r="A23" s="4" t="inlineStr">
        <is>
          <t>5</t>
        </is>
      </c>
      <c r="B23" s="5" t="inlineStr">
        <is>
          <t>Gating says what a run needs (a flag, credentials, a saved admin session). Environment says where it may run: Production-safe cases are read-only; Dev only cases change real data and must never be run against production.</t>
        </is>
      </c>
    </row>
    <row r="24"/>
    <row r="25">
      <c r="A25" s="3" t="inlineStr">
        <is>
          <t>THE RULE THAT SHAPES EVERYTHING</t>
        </is>
      </c>
    </row>
    <row r="26" ht="38.25" customHeight="1">
      <c r="A26" s="4" t="n"/>
      <c r="B26" s="5" t="inlineStr">
        <is>
          <t>Production is read-only. Nothing that creates an order, pays, registers an account or changes an order in the admin panel runs against production. Those cases are tagged @destructive, gated by their own RUN_* flag, and refuse any environment but a dev server. On the production admin panel a tester may open ONLY the designated test order; never touch a customer's order.</t>
        </is>
      </c>
    </row>
    <row r="27"/>
    <row r="28">
      <c r="A28" s="3" t="inlineStr">
        <is>
          <t>BEFORE YOU RUN ANYTHING</t>
        </is>
      </c>
    </row>
    <row r="29" ht="38.25" customHeight="1">
      <c r="A29" s="4" t="n"/>
      <c r="B29" s="5" t="inlineStr">
        <is>
          <t>Check E2E_ENVIRONMENT in your .env - it decides which server you hit. Admin cases need a saved admin session (npm run admin:login; the verification code goes to sales@musticker.com) and one session per account: signing in elsewhere ends it. Dev notification steps send REAL email to the seeded member.</t>
        </is>
      </c>
    </row>
    <row r="30"/>
    <row r="31">
      <c r="A31" s="3" t="inlineStr">
        <is>
          <t>WHERE THE CODE IS</t>
        </is>
      </c>
    </row>
    <row r="32">
      <c r="A32" s="4" t="inlineStr">
        <is>
          <t>Specs</t>
        </is>
      </c>
      <c r="B32" s="5" t="inlineStr">
        <is>
          <t>tests/e2e/storefront/&lt;area&gt;/ and tests/e2e/admin/&lt;area&gt;/</t>
        </is>
      </c>
    </row>
    <row r="33">
      <c r="A33" s="4" t="inlineStr">
        <is>
          <t>Page objects</t>
        </is>
      </c>
      <c r="B33" s="5" t="inlineStr">
        <is>
          <t>tests/pom/storefront/ and tests/pom/admin/</t>
        </is>
      </c>
    </row>
    <row r="34" ht="25.5" customHeight="1">
      <c r="A34" s="4" t="inlineStr">
        <is>
          <t>Docs</t>
        </is>
      </c>
      <c r="B34" s="5" t="inlineStr">
        <is>
          <t>README.md, docs/RUNNING.md (how to run), docs/ARCHITECTURE.md (how it works), docs/CONVENTIONS.md (how to write tests and keep this workbook current)</t>
        </is>
      </c>
    </row>
    <row r="35"/>
    <row r="36">
      <c r="A36" s="3" t="inlineStr">
        <is>
          <t>STATUS</t>
        </is>
      </c>
    </row>
    <row r="37" ht="25.5" customHeight="1">
      <c r="A37" s="4" t="inlineStr">
        <is>
          <t>Blocked on</t>
        </is>
      </c>
      <c r="B37" s="5" t="inlineStr">
        <is>
          <t>Automated order placement on static-1 (dev-static-1): its checkout shows a Cloudflare bot check before payment that rejects automated browsers. MS-ADMO-001 starts from a pre-placed seed order until the dev team exempts test traffic.</t>
        </is>
      </c>
    </row>
    <row r="38" ht="25.5" customHeight="1">
      <c r="A38" s="4" t="inlineStr">
        <is>
          <t>Open decision</t>
        </is>
      </c>
      <c r="B38" s="5" t="inlineStr">
        <is>
          <t>None. MUS-QA-004 (the proof-approval popup promised '제작 진행' while the order stayed 제작 전) was resolved by 2026-10-14: the popup now says the order goes to 제작 대기, which matches the behaviour.</t>
        </is>
      </c>
    </row>
    <row r="39">
      <c r="A39" s="4" t="inlineStr">
        <is>
          <t>Owner</t>
        </is>
      </c>
      <c r="B39" s="5" t="inlineStr">
        <is>
          <t>QA team</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18"/>
  <sheetViews>
    <sheetView zoomScale="90" workbookViewId="0">
      <selection activeCell="A1" sqref="A1"/>
    </sheetView>
  </sheetViews>
  <sheetFormatPr baseColWidth="8" defaultRowHeight="15"/>
  <cols>
    <col width="22" customWidth="1" min="1" max="1"/>
    <col width="116" customWidth="1" min="2" max="2"/>
  </cols>
  <sheetData>
    <row r="1" ht="19.5" customHeight="1">
      <c r="A1" s="1" t="inlineStr">
        <is>
          <t>Test Plan - condensed</t>
        </is>
      </c>
    </row>
    <row r="2">
      <c r="A2" s="2" t="inlineStr">
        <is>
          <t>Musticker storefront + admin panel end-to-end suite</t>
        </is>
      </c>
    </row>
    <row r="3"/>
    <row r="4" ht="25.5" customHeight="1">
      <c r="A4" s="4" t="inlineStr">
        <is>
          <t>OBJECTIVE</t>
        </is>
      </c>
      <c r="B4" s="5" t="inlineStr">
        <is>
          <t>Catch customer-facing regressions on the storefront and processing regressions in the admin panel before customers or staff do, with automated checks that run on every push, daily and on demand, and a case list a person can execute when automation cannot.</t>
        </is>
      </c>
    </row>
    <row r="5" ht="63.75" customHeight="1">
      <c r="A5" s="4" t="inlineStr">
        <is>
          <t>SCOPE - IN</t>
        </is>
      </c>
      <c r="B5" s="5" t="inlineStr">
        <is>
          <t>Storefront: home and navigation, search, categories and catalog, product configurators (stickers, roll stickers, sheet stickers, lettering), the order chooser and the web design studio, sheet size rules, cart, checkout up to payment, sandbox payment on dev, the money path (price carried from product page to checkout), pricing API vs price tables, sign-in, registration, password change, guest order lookup, order history, inquiry form, public API contracts, accessibility (WCAG 2.1 AA), visual snapshots, error pages. Admin: order processing end to end - design review, proof, customer approval, production, printing, shipping, delivery - verified on both apps and through the admin API.</t>
        </is>
      </c>
    </row>
    <row r="6" ht="38.25" customHeight="1">
      <c r="A6" s="4" t="inlineStr">
        <is>
          <t>SCOPE - OUT</t>
        </is>
      </c>
      <c r="B6" s="5" t="inlineStr">
        <is>
          <t>Real payment gateways (only the dev PayApp mock is exercised), email content beyond subject/order number, admin areas other than orders (coupons, notices, SEO, reviews, holidays, couriers) for now, load and performance, cross-browser visual baselines beyond desktop Chromium, the US storefront.</t>
        </is>
      </c>
    </row>
    <row r="8" ht="51" customHeight="1">
      <c r="A8" s="4" t="inlineStr">
        <is>
          <t>APPROACH</t>
        </is>
      </c>
      <c r="B8" s="5" t="inlineStr">
        <is>
          <t>Levels: (1) UI end-to-end on the storefront via page objects; (2) cross-app end-to-end - the customer in one browser context and staff in another, each hand-off verified in both UIs and in the admin API activity log; (3) API contract checks, read-only; (4) data-driven pricing: every row of every committed price table is checked against the pricing API; (5) axe-core accessibility scans; (6) screenshot comparison. A console/HTTP guard fails any test whose page logs an error, even if its assertions pass.</t>
        </is>
      </c>
    </row>
    <row r="9" ht="25.5" customHeight="1">
      <c r="A9" s="4" t="inlineStr">
        <is>
          <t>WHY TWO APPS IN ONE SUITE</t>
        </is>
      </c>
      <c r="B9" s="5" t="inlineStr">
        <is>
          <t>An order is only correct if what the customer sees and what staff see agree at every step. Testing the apps separately cannot catch a hand-off that silently fails (e.g. a proof approved on the storefront that never reaches the admin panel).</t>
        </is>
      </c>
    </row>
    <row r="10" ht="38.25" customHeight="1">
      <c r="A10" s="4" t="inlineStr">
        <is>
          <t>ENVIRONMENTS</t>
        </is>
      </c>
      <c r="B10" s="5" t="inlineStr">
        <is>
          <t>production (read-only; the storefront plus, for admin, the designated test order only), static-1 (dev-static-1: the only server where admin cases may change data - all admin processing runs here), static-2..static-8 (dev-static-2..8: storefront; pricing ids recorded for static-2 only). All eight static-* servers have an admin panel, but order-changing specs refuse every one except static-1. Each dev server has its own user database and pricing table ids. development-1..4 were retired from the suite on 2026-09-25, and development-static / development-static-2 were renamed static-1 / static-2.</t>
        </is>
      </c>
    </row>
    <row r="11" ht="38.25" customHeight="1">
      <c r="A11" s="4" t="inlineStr">
        <is>
          <t>TEST DATA</t>
        </is>
      </c>
      <c r="B11" s="5" t="inlineStr">
        <is>
          <t>Seeded member (AUTH_TEST_EMAIL) per environment; disposable mail.tm inboxes for guest checkout and registration; committed price-table CSVs; upload fixtures (design file, transparent proof PNG); a pool of pre-placed seed orders for admin processing. See Test Data.</t>
        </is>
      </c>
    </row>
    <row r="13" ht="38.25" customHeight="1">
      <c r="A13" s="4" t="inlineStr">
        <is>
          <t>SCHEDULE / CI</t>
        </is>
      </c>
      <c r="B13" s="5" t="inlineStr">
        <is>
          <t>Every PR to an environment branch: lint, typecheck, smoke against that branch's server. Every push to an environment branch: smoke on that server. Daily 05:00 KST and on push to production: production-safe full suite (8 shards). Daily 06:00 KST: visual regression. On demand: manual workflow (any suite/environment); destructive suites and admin cases locally. (The nightly regression workflow was removed on 2026-09-25.)</t>
        </is>
      </c>
    </row>
    <row r="14" ht="25.5" customHeight="1">
      <c r="A14" s="4" t="inlineStr">
        <is>
          <t>ENTRY CRITERIA</t>
        </is>
      </c>
      <c r="B14" s="5" t="inlineStr">
        <is>
          <t>Target environment reachable; .env points at it; seeded member exists there; for admin cases a valid saved admin session and an unused seed order; firewall exemption key for production runs (or accept retries).</t>
        </is>
      </c>
    </row>
    <row r="15" ht="25.5" customHeight="1">
      <c r="A15" s="4" t="inlineStr">
        <is>
          <t>EXIT CRITERIA</t>
        </is>
      </c>
      <c r="B15" s="5" t="inlineStr">
        <is>
          <t>All Critical cases executed with zero open Critical defects; all High cases executed, zero open High defects or each accepted in writing; nothing Blocked without an owner; 95%+ of Medium/Low executed. The Coverage Summary tab computes these.</t>
        </is>
      </c>
    </row>
    <row r="17" ht="51" customHeight="1">
      <c r="A17" s="4" t="inlineStr">
        <is>
          <t>RISKS</t>
        </is>
      </c>
      <c r="B17" s="5" t="inlineStr">
        <is>
          <t>Copy changes without notice (mitigated by self-healing locators + the self-heal report); production firewall rate-limiting (mitigated by retry ladder, per-IP sharding, exemption key); one admin session per account (mitigated by reusing a saved session, never logging in per run); shared dev data changed by other testers (mitigated by seed-order preconditions asserted first); several automated cases check less than their scenario (marked Partial, manual steps in Reference Notes).</t>
        </is>
      </c>
    </row>
    <row r="18" ht="25.5" customHeight="1">
      <c r="A18" s="4" t="inlineStr">
        <is>
          <t>BLOCKED</t>
        </is>
      </c>
      <c r="B18" s="5" t="inlineStr">
        <is>
          <t>Automated order placement on static-1 (Cloudflare check before payment). Admin cases in CI: the verification code needs a person - dev-static-1 has a tester OTP endpoint that could remove this (see MS-ADMA-001), not used by the suite yet.</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D61"/>
  <sheetViews>
    <sheetView zoomScale="90" workbookViewId="0">
      <pane ySplit="4" topLeftCell="A5" activePane="bottomLeft" state="frozen"/>
      <selection pane="bottomLeft" activeCell="A1" sqref="A1"/>
    </sheetView>
  </sheetViews>
  <sheetFormatPr baseColWidth="8" defaultRowHeight="15"/>
  <cols>
    <col width="26" customWidth="1" min="1" max="1"/>
    <col width="30" customWidth="1" min="2" max="2"/>
    <col width="64" customWidth="1" min="3" max="3"/>
    <col width="28" customWidth="1" min="4" max="4"/>
  </cols>
  <sheetData>
    <row r="1" ht="19.5" customHeight="1">
      <c r="A1" s="1" t="inlineStr">
        <is>
          <t>Glossary - Korean to English</t>
        </is>
      </c>
    </row>
    <row r="2">
      <c r="A2" s="2" t="inlineStr">
        <is>
          <t>The storefront and admin statuses are Korean. Test steps quote the Korean exactly as it appears on screen, so a tester can find it.</t>
        </is>
      </c>
    </row>
    <row r="4">
      <c r="A4" s="6" t="inlineStr">
        <is>
          <t>Korean</t>
        </is>
      </c>
      <c r="B4" s="6" t="inlineStr">
        <is>
          <t>English</t>
        </is>
      </c>
      <c r="C4" s="6" t="inlineStr">
        <is>
          <t>What it means here</t>
        </is>
      </c>
      <c r="D4" s="6" t="inlineStr">
        <is>
          <t>Where / code</t>
        </is>
      </c>
    </row>
    <row r="5">
      <c r="A5" s="7" t="inlineStr">
        <is>
          <t>Orders - order status (admin tabs, header)</t>
        </is>
      </c>
      <c r="B5" s="8" t="n"/>
      <c r="C5" s="8" t="n"/>
      <c r="D5" s="8" t="n"/>
    </row>
    <row r="6">
      <c r="A6" s="9" t="inlineStr">
        <is>
          <t>제작 전</t>
        </is>
      </c>
      <c r="B6" s="25" t="inlineStr">
        <is>
          <t>Before production</t>
        </is>
      </c>
      <c r="C6" s="25" t="inlineStr">
        <is>
          <t>Order paid, artwork / proof not finished yet.</t>
        </is>
      </c>
      <c r="D6" s="25" t="inlineStr">
        <is>
          <t>BP</t>
        </is>
      </c>
    </row>
    <row r="7">
      <c r="A7" s="9" t="inlineStr">
        <is>
          <t>제작 진행 중</t>
        </is>
      </c>
      <c r="B7" s="25" t="inlineStr">
        <is>
          <t>In production</t>
        </is>
      </c>
      <c r="C7" s="25" t="inlineStr">
        <is>
          <t>Staff clicked Mark as Printing (until early October 2026: Move to Production).</t>
        </is>
      </c>
      <c r="D7" s="25" t="inlineStr">
        <is>
          <t>FP</t>
        </is>
      </c>
    </row>
    <row r="8">
      <c r="A8" s="9" t="inlineStr">
        <is>
          <t>배송 중</t>
        </is>
      </c>
      <c r="B8" s="25" t="inlineStr">
        <is>
          <t>Shipping</t>
        </is>
      </c>
      <c r="C8" s="25" t="inlineStr">
        <is>
          <t>A tracking number was added. Also an item status.</t>
        </is>
      </c>
      <c r="D8" s="25" t="inlineStr">
        <is>
          <t>SP / OD</t>
        </is>
      </c>
    </row>
    <row r="9">
      <c r="A9" s="9" t="inlineStr">
        <is>
          <t>주문 완료</t>
        </is>
      </c>
      <c r="B9" s="25" t="inlineStr">
        <is>
          <t>Completed</t>
        </is>
      </c>
      <c r="C9" s="25" t="inlineStr">
        <is>
          <t>Shipment marked delivered.</t>
        </is>
      </c>
      <c r="D9" s="25" t="inlineStr">
        <is>
          <t>CP</t>
        </is>
      </c>
    </row>
    <row r="10">
      <c r="A10" s="9" t="inlineStr">
        <is>
          <t>주문 취소</t>
        </is>
      </c>
      <c r="B10" s="25" t="inlineStr">
        <is>
          <t>Cancelled</t>
        </is>
      </c>
      <c r="C10" s="25" t="inlineStr">
        <is>
          <t>Order cancelled (irreversible).</t>
        </is>
      </c>
      <c r="D10" s="25" t="inlineStr">
        <is>
          <t>CC</t>
        </is>
      </c>
    </row>
    <row r="11">
      <c r="A11" s="9" t="inlineStr">
        <is>
          <t>확인 필요</t>
        </is>
      </c>
      <c r="B11" s="25" t="inlineStr">
        <is>
          <t>Needs attention</t>
        </is>
      </c>
      <c r="C11" s="25" t="inlineStr">
        <is>
          <t>Admin list tab only, not a status an order holds.</t>
        </is>
      </c>
      <c r="D11" s="25" t="inlineStr">
        <is>
          <t>PA</t>
        </is>
      </c>
    </row>
    <row r="12">
      <c r="A12" s="9" t="inlineStr">
        <is>
          <t>주문 보류</t>
        </is>
      </c>
      <c r="B12" s="25" t="inlineStr">
        <is>
          <t>On hold</t>
        </is>
      </c>
      <c r="C12" s="25" t="inlineStr">
        <is>
          <t>Status dropdown option; also a customer button on the order page.</t>
        </is>
      </c>
      <c r="D12" s="25" t="inlineStr">
        <is>
          <t>OH</t>
        </is>
      </c>
    </row>
    <row r="13">
      <c r="A13" s="9" t="inlineStr">
        <is>
          <t>응답 대기</t>
        </is>
      </c>
      <c r="B13" s="25" t="inlineStr">
        <is>
          <t>Awaiting reply</t>
        </is>
      </c>
      <c r="C13" s="25" t="inlineStr">
        <is>
          <t>Status dropdown option: waiting on the customer.</t>
        </is>
      </c>
      <c r="D13" s="25" t="inlineStr">
        <is>
          <t>UP</t>
        </is>
      </c>
    </row>
    <row r="14">
      <c r="A14" s="7" t="inlineStr">
        <is>
          <t>Orders - item status (the fine-grained stage)</t>
        </is>
      </c>
      <c r="B14" s="8" t="n"/>
      <c r="C14" s="8" t="n"/>
      <c r="D14" s="8" t="n"/>
    </row>
    <row r="15">
      <c r="A15" s="9" t="inlineStr">
        <is>
          <t>디자인 파일 미제출</t>
        </is>
      </c>
      <c r="B15" s="25" t="inlineStr">
        <is>
          <t>Artwork not submitted</t>
        </is>
      </c>
      <c r="C15" s="25" t="inlineStr">
        <is>
          <t>Paid, customer has not uploaded a design yet.</t>
        </is>
      </c>
      <c r="D15" s="25" t="inlineStr">
        <is>
          <t>status id 1</t>
        </is>
      </c>
    </row>
    <row r="16">
      <c r="A16" s="9" t="inlineStr">
        <is>
          <t>디자인 파일 제출 완료</t>
        </is>
      </c>
      <c r="B16" s="25" t="inlineStr">
        <is>
          <t>Artwork submitted</t>
        </is>
      </c>
      <c r="C16" s="25" t="inlineStr">
        <is>
          <t>Customer uploaded (or resubmitted) a design.</t>
        </is>
      </c>
      <c r="D16" s="25" t="inlineStr">
        <is>
          <t>SA</t>
        </is>
      </c>
    </row>
    <row r="17">
      <c r="A17" s="9" t="inlineStr">
        <is>
          <t>디자인 파일 검토 중</t>
        </is>
      </c>
      <c r="B17" s="25" t="inlineStr">
        <is>
          <t>Checking artwork</t>
        </is>
      </c>
      <c r="C17" s="25" t="inlineStr">
        <is>
          <t>Staff clicked Make Evaluation.</t>
        </is>
      </c>
      <c r="D17" s="25" t="inlineStr">
        <is>
          <t>CA</t>
        </is>
      </c>
    </row>
    <row r="18">
      <c r="A18" s="9" t="inlineStr">
        <is>
          <t>검토 반려</t>
        </is>
      </c>
      <c r="B18" s="25" t="inlineStr">
        <is>
          <t>Evaluation failed</t>
        </is>
      </c>
      <c r="C18" s="25" t="inlineStr">
        <is>
          <t>Staff rejected the file with feedback; customer must resubmit.</t>
        </is>
      </c>
      <c r="D18" s="25" t="inlineStr">
        <is>
          <t>FE</t>
        </is>
      </c>
    </row>
    <row r="19">
      <c r="A19" s="9" t="inlineStr">
        <is>
          <t>검토 승인</t>
        </is>
      </c>
      <c r="B19" s="25" t="inlineStr">
        <is>
          <t>Evaluation passed</t>
        </is>
      </c>
      <c r="C19" s="25" t="inlineStr">
        <is>
          <t>File accepted; staff can send the final proof.</t>
        </is>
      </c>
      <c r="D19" s="25" t="inlineStr">
        <is>
          <t>PE</t>
        </is>
      </c>
    </row>
    <row r="20">
      <c r="A20" s="9" t="inlineStr">
        <is>
          <t>승인 대기</t>
        </is>
      </c>
      <c r="B20" s="25" t="inlineStr">
        <is>
          <t>Needs approval</t>
        </is>
      </c>
      <c r="C20" s="25" t="inlineStr">
        <is>
          <t>Final proof sent, waiting for the customer.</t>
        </is>
      </c>
      <c r="D20" s="25" t="inlineStr">
        <is>
          <t>NA</t>
        </is>
      </c>
    </row>
    <row r="21">
      <c r="A21" s="9" t="inlineStr">
        <is>
          <t>최종 승인 완료</t>
        </is>
      </c>
      <c r="B21" s="25" t="inlineStr">
        <is>
          <t>Approved</t>
        </is>
      </c>
      <c r="C21" s="25" t="inlineStr">
        <is>
          <t>Proof approved (by customer or on their behalf). Labelled 승인 완료 - 제작 승인 대기 until early October 2026.</t>
        </is>
      </c>
      <c r="D21" s="25" t="inlineStr">
        <is>
          <t>A-FPA</t>
        </is>
      </c>
    </row>
    <row r="22">
      <c r="A22" s="9" t="inlineStr">
        <is>
          <t>주문 준비 중</t>
        </is>
      </c>
      <c r="B22" s="25" t="inlineStr">
        <is>
          <t>Preparing order</t>
        </is>
      </c>
      <c r="C22" s="25" t="inlineStr">
        <is>
          <t>No longer reached: it followed Move to Production, which was removed by 2026-10-14.</t>
        </is>
      </c>
      <c r="D22" s="25" t="inlineStr">
        <is>
          <t>PO</t>
        </is>
      </c>
    </row>
    <row r="23">
      <c r="A23" s="9" t="inlineStr">
        <is>
          <t>인쇄 진행 중</t>
        </is>
      </c>
      <c r="B23" s="25" t="inlineStr">
        <is>
          <t>Printing</t>
        </is>
      </c>
      <c r="C23" s="25" t="inlineStr">
        <is>
          <t>Staff clicked Mark as Printing.</t>
        </is>
      </c>
      <c r="D23" s="25" t="inlineStr">
        <is>
          <t>P</t>
        </is>
      </c>
    </row>
    <row r="24">
      <c r="A24" s="9" t="inlineStr">
        <is>
          <t>출고 준비 완료</t>
        </is>
      </c>
      <c r="B24" s="25" t="inlineStr">
        <is>
          <t>Ready to ship</t>
        </is>
      </c>
      <c r="C24" s="25" t="inlineStr">
        <is>
          <t>Tracking number added, not sent yet.</t>
        </is>
      </c>
      <c r="D24" s="25" t="inlineStr">
        <is>
          <t>RS</t>
        </is>
      </c>
    </row>
    <row r="25">
      <c r="A25" s="9" t="inlineStr">
        <is>
          <t>배송 완료</t>
        </is>
      </c>
      <c r="B25" s="25" t="inlineStr">
        <is>
          <t>Delivered</t>
        </is>
      </c>
      <c r="C25" s="25" t="inlineStr">
        <is>
          <t>Tracking marked delivered.</t>
        </is>
      </c>
      <c r="D25" s="25" t="inlineStr">
        <is>
          <t>DE</t>
        </is>
      </c>
    </row>
    <row r="26">
      <c r="A26" s="7" t="inlineStr">
        <is>
          <t>Proofs and artwork</t>
        </is>
      </c>
      <c r="B26" s="8" t="n"/>
      <c r="C26" s="8" t="n"/>
      <c r="D26" s="8" t="n"/>
    </row>
    <row r="27">
      <c r="A27" s="9" t="inlineStr">
        <is>
          <t>시안 / 최종 시안</t>
        </is>
      </c>
      <c r="B27" s="25" t="inlineStr">
        <is>
          <t>Proof / final proof</t>
        </is>
      </c>
      <c r="C27" s="25" t="inlineStr">
        <is>
          <t>The staff-prepared preview the customer approves.</t>
        </is>
      </c>
      <c r="D27" s="25" t="inlineStr">
        <is>
          <t>storefront: 최종 시안 확인</t>
        </is>
      </c>
    </row>
    <row r="28">
      <c r="A28" s="9" t="inlineStr">
        <is>
          <t>수정 요청</t>
        </is>
      </c>
      <c r="B28" s="25" t="inlineStr">
        <is>
          <t>Request changes</t>
        </is>
      </c>
      <c r="C28" s="25" t="inlineStr">
        <is>
          <t>Customer rejects a proof.</t>
        </is>
      </c>
      <c r="D28" s="25" t="inlineStr">
        <is>
          <t>proof modal</t>
        </is>
      </c>
    </row>
    <row r="29">
      <c r="A29" s="9" t="inlineStr">
        <is>
          <t>재접수 / 디자인 파일 재접수</t>
        </is>
      </c>
      <c r="B29" s="25" t="inlineStr">
        <is>
          <t>Resubmit / resubmit design file</t>
        </is>
      </c>
      <c r="C29" s="25" t="inlineStr">
        <is>
          <t>Customer uploads again after a rejection.</t>
        </is>
      </c>
      <c r="D29" s="25" t="inlineStr">
        <is>
          <t>order page</t>
        </is>
      </c>
    </row>
    <row r="30">
      <c r="A30" s="9" t="inlineStr">
        <is>
          <t>담당자 의견</t>
        </is>
      </c>
      <c r="B30" s="25" t="inlineStr">
        <is>
          <t>Reviewer's comment</t>
        </is>
      </c>
      <c r="C30" s="25" t="inlineStr">
        <is>
          <t>The staff feedback shown to the customer after a rejection.</t>
        </is>
      </c>
      <c r="D30" s="25" t="inlineStr">
        <is>
          <t>resubmit dialog</t>
        </is>
      </c>
    </row>
    <row r="31" ht="24" customHeight="1">
      <c r="A31" s="9" t="inlineStr">
        <is>
          <t>파일로 주문하기</t>
        </is>
      </c>
      <c r="B31" s="25" t="inlineStr">
        <is>
          <t>Order with a file</t>
        </is>
      </c>
      <c r="C31" s="25" t="inlineStr">
        <is>
          <t>Order-chooser button that adds the item with the attached design file (production and static-1 since early October 2026).</t>
        </is>
      </c>
      <c r="D31" s="25" t="inlineStr">
        <is>
          <t>product page</t>
        </is>
      </c>
    </row>
    <row r="32" ht="25.5" customHeight="1">
      <c r="A32" s="9" t="inlineStr">
        <is>
          <t>이 단계를 건너뛰고 나중에 파일 보내기</t>
        </is>
      </c>
      <c r="B32" s="25" t="inlineStr">
        <is>
          <t>Skip and send the file later</t>
        </is>
      </c>
      <c r="C32" s="25" t="inlineStr">
        <is>
          <t>Adds the item without a design.</t>
        </is>
      </c>
      <c r="D32" s="25" t="inlineStr">
        <is>
          <t>product page</t>
        </is>
      </c>
    </row>
    <row r="33">
      <c r="A33" s="7" t="inlineStr">
        <is>
          <t>Payment and shipping</t>
        </is>
      </c>
      <c r="B33" s="8" t="n"/>
      <c r="C33" s="8" t="n"/>
      <c r="D33" s="8" t="n"/>
    </row>
    <row r="34">
      <c r="A34" s="9" t="inlineStr">
        <is>
          <t>결제 완료 / 부분 결제 완료</t>
        </is>
      </c>
      <c r="B34" s="25" t="inlineStr">
        <is>
          <t>Paid / partially paid</t>
        </is>
      </c>
      <c r="C34" s="25" t="inlineStr">
        <is>
          <t>Payment status.</t>
        </is>
      </c>
      <c r="D34" s="25" t="inlineStr">
        <is>
          <t>PD</t>
        </is>
      </c>
    </row>
    <row r="35">
      <c r="A35" s="9" t="inlineStr">
        <is>
          <t>환불 관련</t>
        </is>
      </c>
      <c r="B35" s="25" t="inlineStr">
        <is>
          <t>Refund-related</t>
        </is>
      </c>
      <c r="C35" s="25" t="inlineStr">
        <is>
          <t>An item was reduced after payment; a refundable amount is shown.</t>
        </is>
      </c>
      <c r="D35" s="25" t="inlineStr">
        <is>
          <t>Verify Refund</t>
        </is>
      </c>
    </row>
    <row r="36">
      <c r="A36" s="9" t="inlineStr">
        <is>
          <t>무통장 입금 / 가상계좌</t>
        </is>
      </c>
      <c r="B36" s="25" t="inlineStr">
        <is>
          <t>Bank transfer / virtual account</t>
        </is>
      </c>
      <c r="C36" s="25" t="inlineStr">
        <is>
          <t>Payment methods.</t>
        </is>
      </c>
      <c r="D36" s="25" t="inlineStr">
        <is>
          <t>checkout</t>
        </is>
      </c>
    </row>
    <row r="37" ht="24" customHeight="1">
      <c r="A37" s="9" t="inlineStr">
        <is>
          <t>일반 배송 / 위탁배송</t>
        </is>
      </c>
      <c r="B37" s="25" t="inlineStr">
        <is>
          <t>Standard shipping / consignment shipping</t>
        </is>
      </c>
      <c r="C37" s="25" t="inlineStr">
        <is>
          <t>Shipping options at checkout.</t>
        </is>
      </c>
      <c r="D37" s="25" t="inlineStr">
        <is>
          <t>checkout</t>
        </is>
      </c>
    </row>
    <row r="38">
      <c r="A38" s="9" t="inlineStr">
        <is>
          <t>운송장 번호 / 배송 조회</t>
        </is>
      </c>
      <c r="B38" s="25" t="inlineStr">
        <is>
          <t>Tracking number / track delivery</t>
        </is>
      </c>
      <c r="C38" s="25" t="inlineStr">
        <is>
          <t>Shown to the customer once shipped.</t>
        </is>
      </c>
      <c r="D38" s="25" t="inlineStr">
        <is>
          <t>order page</t>
        </is>
      </c>
    </row>
    <row r="39">
      <c r="A39" s="9" t="inlineStr">
        <is>
          <t>소계 / 배송비 / 합계</t>
        </is>
      </c>
      <c r="B39" s="25" t="inlineStr">
        <is>
          <t>Subtotal / shipping fee / total</t>
        </is>
      </c>
      <c r="C39" s="25" t="inlineStr">
        <is>
          <t>Checkout summary rows.</t>
        </is>
      </c>
      <c r="D39" s="25" t="inlineStr">
        <is>
          <t>checkout</t>
        </is>
      </c>
    </row>
    <row r="40">
      <c r="A40" s="9" t="inlineStr">
        <is>
          <t>포인트 할인 / 쿠폰 할인</t>
        </is>
      </c>
      <c r="B40" s="25" t="inlineStr">
        <is>
          <t>Points discount / coupon discount</t>
        </is>
      </c>
      <c r="C40" s="25" t="inlineStr">
        <is>
          <t>Checkout summary rows.</t>
        </is>
      </c>
      <c r="D40" s="25" t="inlineStr">
        <is>
          <t>checkout</t>
        </is>
      </c>
    </row>
    <row r="41">
      <c r="A41" s="9" t="inlineStr">
        <is>
          <t>결제하기</t>
        </is>
      </c>
      <c r="B41" s="25" t="inlineStr">
        <is>
          <t>Pay</t>
        </is>
      </c>
      <c r="C41" s="25" t="inlineStr">
        <is>
          <t>Checkout pay button.</t>
        </is>
      </c>
      <c r="D41" s="25" t="inlineStr">
        <is>
          <t>checkout</t>
        </is>
      </c>
    </row>
    <row r="42">
      <c r="A42" s="7" t="inlineStr">
        <is>
          <t>Products and configuration</t>
        </is>
      </c>
      <c r="B42" s="8" t="n"/>
      <c r="C42" s="8" t="n"/>
      <c r="D42" s="8" t="n"/>
    </row>
    <row r="43" ht="24" customHeight="1">
      <c r="A43" s="9" t="inlineStr">
        <is>
          <t>스티커 / 롤스티커 / 판스티커</t>
        </is>
      </c>
      <c r="B43" s="25" t="inlineStr">
        <is>
          <t>Stickers / roll stickers / sheet stickers</t>
        </is>
      </c>
      <c r="C43" s="25" t="inlineStr">
        <is>
          <t>The three product categories (판스티커 was 시트 스티커 before the 2026-09 rename).</t>
        </is>
      </c>
      <c r="D43" s="25" t="inlineStr">
        <is>
          <t>header nav</t>
        </is>
      </c>
    </row>
    <row r="44">
      <c r="A44" s="9" t="inlineStr">
        <is>
          <t>자유형 조각스티커</t>
        </is>
      </c>
      <c r="B44" s="25" t="inlineStr">
        <is>
          <t>Die-cut sticker (free shape)</t>
        </is>
      </c>
      <c r="C44" s="25" t="inlineStr">
        <is>
          <t>The reference product used by most flows.</t>
        </is>
      </c>
      <c r="D44" s="25" t="inlineStr">
        <is>
          <t>die-cut-sticker</t>
        </is>
      </c>
    </row>
    <row r="45">
      <c r="A45" s="9" t="inlineStr">
        <is>
          <t>도무송 / 통재단</t>
        </is>
      </c>
      <c r="B45" s="25" t="inlineStr">
        <is>
          <t>Kiss cut / full cut</t>
        </is>
      </c>
      <c r="C45" s="25" t="inlineStr">
        <is>
          <t>Cutting (supply) options.</t>
        </is>
      </c>
      <c r="D45" s="25" t="inlineStr">
        <is>
          <t>product page</t>
        </is>
      </c>
    </row>
    <row r="46">
      <c r="A46" s="9" t="inlineStr">
        <is>
          <t>원하는 크기 입력</t>
        </is>
      </c>
      <c r="B46" s="25" t="inlineStr">
        <is>
          <t>Enter a custom size</t>
        </is>
      </c>
      <c r="C46" s="25" t="inlineStr">
        <is>
          <t>Custom size pill.</t>
        </is>
      </c>
      <c r="D46" s="25" t="inlineStr">
        <is>
          <t>product page</t>
        </is>
      </c>
    </row>
    <row r="47">
      <c r="A47" s="9" t="inlineStr">
        <is>
          <t>다음 단계</t>
        </is>
      </c>
      <c r="B47" s="25" t="inlineStr">
        <is>
          <t>Next step</t>
        </is>
      </c>
      <c r="C47" s="25" t="inlineStr">
        <is>
          <t>Moves from configuration to the design upload dialog.</t>
        </is>
      </c>
      <c r="D47" s="25" t="inlineStr">
        <is>
          <t>product page</t>
        </is>
      </c>
    </row>
    <row r="48">
      <c r="A48" s="9" t="inlineStr">
        <is>
          <t>1시트 = 스티커 N개</t>
        </is>
      </c>
      <c r="B48" s="25" t="inlineStr">
        <is>
          <t>1 sheet = N stickers</t>
        </is>
      </c>
      <c r="C48" s="25" t="inlineStr">
        <is>
          <t>Sheet packing readout.</t>
        </is>
      </c>
      <c r="D48" s="25" t="inlineStr">
        <is>
          <t>sheet products</t>
        </is>
      </c>
    </row>
    <row r="49">
      <c r="A49" s="9" t="inlineStr">
        <is>
          <t>1매당</t>
        </is>
      </c>
      <c r="B49" s="25" t="inlineStr">
        <is>
          <t>Per piece</t>
        </is>
      </c>
      <c r="C49" s="25" t="inlineStr">
        <is>
          <t>Per-unit price readout; fractional won is intended.</t>
        </is>
      </c>
      <c r="D49" s="25" t="inlineStr">
        <is>
          <t>product page</t>
        </is>
      </c>
    </row>
    <row r="50">
      <c r="A50" s="7" t="inlineStr">
        <is>
          <t>Account and sign-in</t>
        </is>
      </c>
      <c r="B50" s="8" t="n"/>
      <c r="C50" s="8" t="n"/>
      <c r="D50" s="8" t="n"/>
    </row>
    <row r="51" ht="25.5" customHeight="1">
      <c r="A51" s="9" t="inlineStr">
        <is>
          <t>주문 내역 / 진행 중 / 이전 내역</t>
        </is>
      </c>
      <c r="B51" s="25" t="inlineStr">
        <is>
          <t>Order history / in progress / past</t>
        </is>
      </c>
      <c r="C51" s="25" t="inlineStr">
        <is>
          <t>Account order list and its two segments.</t>
        </is>
      </c>
      <c r="D51" s="25" t="inlineStr">
        <is>
          <t>/kr/account/orders</t>
        </is>
      </c>
    </row>
    <row r="52">
      <c r="A52" s="9" t="inlineStr">
        <is>
          <t>비회원 주문 조회</t>
        </is>
      </c>
      <c r="B52" s="25" t="inlineStr">
        <is>
          <t>Guest order lookup</t>
        </is>
      </c>
      <c r="C52" s="25" t="inlineStr">
        <is>
          <t>Find an order by email + order number without an account.</t>
        </is>
      </c>
      <c r="D52" s="25" t="inlineStr">
        <is>
          <t>login page</t>
        </is>
      </c>
    </row>
    <row r="53">
      <c r="A53" s="9" t="inlineStr">
        <is>
          <t>인증 / 인증번호</t>
        </is>
      </c>
      <c r="B53" s="25" t="inlineStr">
        <is>
          <t>Verification / verification code</t>
        </is>
      </c>
      <c r="C53" s="25" t="inlineStr">
        <is>
          <t>Emailed one-time code (registration, guest checkout).</t>
        </is>
      </c>
      <c r="D53" s="25" t="inlineStr">
        <is>
          <t>mail.tm</t>
        </is>
      </c>
    </row>
    <row r="54">
      <c r="A54" s="9" t="inlineStr">
        <is>
          <t>로그인 상태 유지</t>
        </is>
      </c>
      <c r="B54" s="25" t="inlineStr">
        <is>
          <t>Keep me signed in</t>
        </is>
      </c>
      <c r="C54" s="25" t="inlineStr">
        <is>
          <t>Storefront login option (remember_me).</t>
        </is>
      </c>
      <c r="D54" s="25" t="inlineStr">
        <is>
          <t>login</t>
        </is>
      </c>
    </row>
    <row r="55">
      <c r="A55" s="7" t="inlineStr">
        <is>
          <t>Ordering - order chooser and design studio</t>
        </is>
      </c>
      <c r="B55" s="8" t="n"/>
      <c r="C55" s="8" t="n"/>
      <c r="D55" s="8" t="n"/>
    </row>
    <row r="56">
      <c r="A56" s="9" t="inlineStr">
        <is>
          <t>어떻게 주문하시겠어요?</t>
        </is>
      </c>
      <c r="B56" s="25" t="inlineStr">
        <is>
          <t>How would you like to order?</t>
        </is>
      </c>
      <c r="C56" s="25" t="inlineStr">
        <is>
          <t>The order chooser that 다음 단계 opens: with a file, in the studio, or file later.</t>
        </is>
      </c>
      <c r="D56" s="25" t="inlineStr">
        <is>
          <t>Product page dialog</t>
        </is>
      </c>
    </row>
    <row r="57">
      <c r="A57" s="9" t="inlineStr">
        <is>
          <t>스튜디오 이동</t>
        </is>
      </c>
      <c r="B57" s="25" t="inlineStr">
        <is>
          <t>Go to studio</t>
        </is>
      </c>
      <c r="C57" s="25" t="inlineStr">
        <is>
          <t>Opens the web design studio (?studio=1) with the configured size and quantity, 5% cheaper.</t>
        </is>
      </c>
      <c r="D57" s="25" t="inlineStr">
        <is>
          <t>Order chooser</t>
        </is>
      </c>
    </row>
    <row r="58">
      <c r="A58" s="9" t="inlineStr">
        <is>
          <t>간편하게 디자인하기</t>
        </is>
      </c>
      <c r="B58" s="25" t="inlineStr">
        <is>
          <t>Design it easily</t>
        </is>
      </c>
      <c r="C58" s="25" t="inlineStr">
        <is>
          <t>The studio panel of the order chooser; no separate proof or approval step.</t>
        </is>
      </c>
      <c r="D58" s="25" t="inlineStr">
        <is>
          <t>Order chooser</t>
        </is>
      </c>
    </row>
    <row r="59">
      <c r="A59" s="9" t="inlineStr">
        <is>
          <t>주문 준비 완료</t>
        </is>
      </c>
      <c r="B59" s="25" t="inlineStr">
        <is>
          <t>Ready to order</t>
        </is>
      </c>
      <c r="C59" s="25" t="inlineStr">
        <is>
          <t>The studio's confirmation before 장바구니 담기: preview, 재단 방식, three checks, 네, 확인했어요!.</t>
        </is>
      </c>
      <c r="D59" s="25" t="inlineStr">
        <is>
          <t>Design studio</t>
        </is>
      </c>
    </row>
    <row r="60">
      <c r="A60" s="9" t="inlineStr">
        <is>
          <t>통재단 / 도무송</t>
        </is>
      </c>
      <c r="B60" s="25" t="inlineStr">
        <is>
          <t>Full cut / kiss cut</t>
        </is>
      </c>
      <c r="C60" s="25" t="inlineStr">
        <is>
          <t>재단 방식 choice in the studio confirmation.</t>
        </is>
      </c>
      <c r="D60" s="25" t="inlineStr">
        <is>
          <t>Design studio</t>
        </is>
      </c>
    </row>
    <row r="61">
      <c r="A61" s="9" t="inlineStr">
        <is>
          <t>무광 화이트</t>
        </is>
      </c>
      <c r="B61" s="25" t="inlineStr">
        <is>
          <t>Matte white</t>
        </is>
      </c>
      <c r="C61" s="25" t="inlineStr">
        <is>
          <t>Default sheet sticker material; labelled PVC 매트 until early October 2026.</t>
        </is>
      </c>
      <c r="D61" s="25" t="inlineStr">
        <is>
          <t>Sheet sticker options</t>
        </is>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Y176"/>
  <sheetViews>
    <sheetView zoomScale="90" workbookViewId="0">
      <pane xSplit="5" ySplit="1" topLeftCell="F2" activePane="bottomRight" state="frozen"/>
      <selection pane="topRight" activeCell="A1" sqref="A1"/>
      <selection pane="bottomLeft" activeCell="A1" sqref="A1"/>
      <selection pane="bottomRight" activeCell="A1" sqref="A1"/>
    </sheetView>
  </sheetViews>
  <sheetFormatPr baseColWidth="8" defaultRowHeight="15"/>
  <cols>
    <col width="15" customWidth="1" min="1" max="1"/>
    <col width="13" customWidth="1" min="2" max="2"/>
    <col width="22" customWidth="1" min="3" max="3"/>
    <col width="18" customWidth="1" min="4" max="4"/>
    <col width="44" customWidth="1" min="5" max="5"/>
    <col width="10" customWidth="1" min="6" max="6"/>
    <col width="13" customWidth="1" min="7" max="7"/>
    <col width="30" customWidth="1" min="8" max="9"/>
    <col width="50" customWidth="1" min="10" max="10"/>
    <col width="52" customWidth="1" min="11" max="11"/>
    <col width="12" customWidth="1" min="12" max="12"/>
    <col width="14" customWidth="1" min="13" max="13"/>
    <col width="22" customWidth="1" min="14" max="14"/>
    <col width="34" customWidth="1" min="15" max="16"/>
    <col width="20" customWidth="1" min="17" max="17"/>
    <col width="8" customWidth="1" min="18" max="18"/>
    <col width="46" customWidth="1" min="19" max="19"/>
    <col width="11" customWidth="1" min="20" max="20"/>
    <col width="12" customWidth="1" min="21" max="22"/>
    <col width="13" customWidth="1" min="23" max="23"/>
    <col width="28" customWidth="1" min="24" max="24"/>
    <col width="14" customWidth="1" min="25" max="25"/>
  </cols>
  <sheetData>
    <row r="1" ht="30" customHeight="1">
      <c r="A1" s="6" t="inlineStr">
        <is>
          <t>TC ID</t>
        </is>
      </c>
      <c r="B1" s="6" t="inlineStr">
        <is>
          <t>App</t>
        </is>
      </c>
      <c r="C1" s="6" t="inlineStr">
        <is>
          <t>Area</t>
        </is>
      </c>
      <c r="D1" s="6" t="inlineStr">
        <is>
          <t>Sub-Area</t>
        </is>
      </c>
      <c r="E1" s="6" t="inlineStr">
        <is>
          <t>Test Scenario / Title</t>
        </is>
      </c>
      <c r="F1" s="6" t="inlineStr">
        <is>
          <t>Priority</t>
        </is>
      </c>
      <c r="G1" s="6" t="inlineStr">
        <is>
          <t>Test Type</t>
        </is>
      </c>
      <c r="H1" s="6" t="inlineStr">
        <is>
          <t>Preconditions</t>
        </is>
      </c>
      <c r="I1" s="6" t="inlineStr">
        <is>
          <t>Test Data</t>
        </is>
      </c>
      <c r="J1" s="6" t="inlineStr">
        <is>
          <t>Test Steps</t>
        </is>
      </c>
      <c r="K1" s="6" t="inlineStr">
        <is>
          <t>Expected Result</t>
        </is>
      </c>
      <c r="L1" s="6" t="inlineStr">
        <is>
          <t>Automation</t>
        </is>
      </c>
      <c r="M1" s="6" t="inlineStr">
        <is>
          <t>Environment</t>
        </is>
      </c>
      <c r="N1" s="6" t="inlineStr">
        <is>
          <t>Gating (to run)</t>
        </is>
      </c>
      <c r="O1" s="6" t="inlineStr">
        <is>
          <t>Playwright Spec</t>
        </is>
      </c>
      <c r="P1" s="6" t="inlineStr">
        <is>
          <t>Playwright Test Title</t>
        </is>
      </c>
      <c r="Q1" s="6" t="inlineStr">
        <is>
          <t>Tags</t>
        </is>
      </c>
      <c r="R1" s="6" t="inlineStr">
        <is>
          <t>PW Tests</t>
        </is>
      </c>
      <c r="S1" s="6" t="inlineStr">
        <is>
          <t>Reference Notes</t>
        </is>
      </c>
      <c r="T1" s="11" t="inlineStr">
        <is>
          <t>Result</t>
        </is>
      </c>
      <c r="U1" s="11" t="inlineStr">
        <is>
          <t>Defect ID</t>
        </is>
      </c>
      <c r="V1" s="11" t="inlineStr">
        <is>
          <t>Tester</t>
        </is>
      </c>
      <c r="W1" s="11" t="inlineStr">
        <is>
          <t>Executed On</t>
        </is>
      </c>
      <c r="X1" s="11" t="inlineStr">
        <is>
          <t>Tester Notes</t>
        </is>
      </c>
      <c r="Y1" s="6" t="inlineStr">
        <is>
          <t xml:space="preserve">Legacy ID</t>
        </is>
      </c>
    </row>
    <row r="2" ht="150" customHeight="1">
      <c r="A2" s="12" t="inlineStr">
        <is>
          <t>MS-NAV-001</t>
        </is>
      </c>
      <c r="B2" s="25" t="inlineStr">
        <is>
          <t>Storefront</t>
        </is>
      </c>
      <c r="C2" s="25" t="inlineStr">
        <is>
          <t>1. Smoke &amp; core navigation</t>
        </is>
      </c>
      <c r="D2" s="25" t="inlineStr">
        <is>
          <t>Storefront smoke</t>
        </is>
      </c>
      <c r="E2" s="25" t="inlineStr">
        <is>
          <t>The homepage loads with the header, hero heading, category links, main CTAs, review count, and footer business details.</t>
        </is>
      </c>
      <c r="F2" s="13" t="inlineStr">
        <is>
          <t>Critical</t>
        </is>
      </c>
      <c r="G2" s="25" t="inlineStr">
        <is>
          <t>Smoke</t>
        </is>
      </c>
      <c r="H2" s="25" t="inlineStr">
        <is>
          <t>Anonymous session (no login); desktop browser (chromium-desktop 1440x900 by default).</t>
        </is>
      </c>
      <c r="I2" s="25" t="inlineStr">
        <is>
          <t>Hero heading '스티커ㅋㅋㅋ, 이유가 있구나'; category links 스티커 (/stickers), 롤스티커 (/roll-stickers), 판스티커 (/sheet-stickers); CTAs 빠른 주문, 바로 주문하기, 제작 문의하기; footer the logo image (alt 'musticker logo'), '/ 머스티커', '(주)글로픽스', 1899-5529, sales@musticker.com</t>
        </is>
      </c>
      <c r="J2" s="25" t="inlineStr">
        <is>
          <t xml:space="preserve">1. Open the storefront home page https://www.musticker.com/kr (BASE_URL).
2. Check the header: site banner, 'Musticker' logo link, search, cart and account buttons.
3. Check the browser tab title and the hero heading.
4. Check the header category links 스티커, 롤스티커, 판스티커.
5. Check the buttons 빠른 주문, 바로 주문하기, 제작 문의하기 and the photo-review count text.
6. Scroll to the footer and check the business details and legal/support links.</t>
        </is>
      </c>
      <c r="K2" s="25" t="inlineStr">
        <is>
          <t>Header banner, 'Musticker' logo link, search button, cart button and account button are visible. Page title contains '머스티커'. Heading '스티커ㅋㅋㅋ, 이유가 있구나' is visible. Header links 스티커, 롤스티커, 판스티커 are visible. Buttons '빠른 주문', '바로 주문하기', '제작 문의하기' are visible. Page text contains a photo-review count matching '사진 후기 N개' or 'N개 사진 후기' (any number). Footer contains the logo image (alt 'musticker logo'), '/ 머스티커', '(주)글로픽스', '1899-5529', 'sales@musticker.com'; links '이용약관', '개인정보처리방침', '자주 묻는 질문' are visible. No unexpected console errors or HTTP &gt;=400 responses (guard fixture; guest /user/me 401 and known Nuxt payload failures tolerated).</t>
        </is>
      </c>
      <c r="L2" s="13" t="inlineStr">
        <is>
          <t>Automated</t>
        </is>
      </c>
      <c r="M2" s="25" t="inlineStr">
        <is>
          <t>Production-safe</t>
        </is>
      </c>
      <c r="N2" s="25" t="inlineStr">
        <is>
          <t>-</t>
        </is>
      </c>
      <c r="O2" s="25" t="inlineStr">
        <is>
          <t>tests/e2e/storefront/navigation/storefront-smoke.spec.ts</t>
        </is>
      </c>
      <c r="P2" s="25" t="inlineStr">
        <is>
          <t>MS-NAV-001 homepage loads with critical public content</t>
        </is>
      </c>
      <c r="Q2" s="25" t="inlineStr">
        <is>
          <t>@smoke @production</t>
        </is>
      </c>
      <c r="R2" s="13" t="n">
        <v>1</v>
      </c>
      <c r="S2" s="25" t="inlineStr">
        <is>
          <t>test-case.md expects the exact text '사진 후기 225개'; the code accepts any review count (regex). Category links self-heal: if the label text is gone, the link is located by its href (/stickers, /roll-stickers, /sheet-stickers) and a 'self-healed' annotation is recorded (disable with SELF_HEAL=off). The footer was redesigned by 2026-10-14: the wordmark is an image followed by "/ 머스티커"; it used to read "MUSTICKER / 머스티커".</t>
        </is>
      </c>
      <c r="T2" s="14" t="inlineStr">
        <is>
          <t>Not Run</t>
        </is>
      </c>
      <c r="U2" s="15" t="n"/>
      <c r="V2" s="15" t="n"/>
      <c r="W2" s="15" t="n"/>
      <c r="X2" s="15" t="n"/>
      <c r="Y2" s="25" t="inlineStr">
        <is>
          <t>MS-V2-001</t>
        </is>
      </c>
    </row>
    <row r="3" ht="150" customHeight="1">
      <c r="A3" s="12" t="inlineStr">
        <is>
          <t>MS-NAV-002</t>
        </is>
      </c>
      <c r="B3" s="25" t="inlineStr">
        <is>
          <t>Storefront</t>
        </is>
      </c>
      <c r="C3" s="25" t="inlineStr">
        <is>
          <t>1. Smoke &amp; core navigation</t>
        </is>
      </c>
      <c r="D3" s="25" t="inlineStr">
        <is>
          <t>Storefront smoke</t>
        </is>
      </c>
      <c r="E3" s="25" t="inlineStr">
        <is>
          <t>Clicking each header category link (스티커, 롤스티커, 판스티커) opens that category's product menu, and choosing a product opens its page.</t>
        </is>
      </c>
      <c r="F3" s="13" t="inlineStr">
        <is>
          <t>Critical</t>
        </is>
      </c>
      <c r="G3" s="25" t="inlineStr">
        <is>
          <t>Navigation</t>
        </is>
      </c>
      <c r="H3" s="25" t="inlineStr">
        <is>
          <t>Anonymous session.</t>
        </is>
      </c>
      <c r="I3" s="25" t="inlineStr">
        <is>
          <t>스티커 -&gt; /kr/stickers; 롤스티커 -&gt; /kr/roll-stickers; 판스티커 -&gt; /kr/sheet-stickers</t>
        </is>
      </c>
      <c r="J3" s="25" t="inlineStr">
        <is>
          <t xml:space="preserve">1. Open the home page /kr.
2. Click 스티커 in the header; check the menu that opens.
3. Click 롤스티커; check its menu.
4. Click 판스티커; check its menu.
5. Open the 롤스티커 menu again and choose its first product.</t>
        </is>
      </c>
      <c r="K3" s="25" t="inlineStr">
        <is>
          <t>Each click marks the link aria-expanded="true" and shows the category-nav-dropdown menu. The menu links to exactly that category's products, in order: 12 under /kr/stickers/, 8 under /kr/roll-stickers/, 6 under /kr/sheet-stickers/ (the same products as the category page). Choosing 자유형 롤 스티커 opens /kr/roll-stickers/die-cut-roll with that heading. No unexpected console/HTTP errors (guard fixture).</t>
        </is>
      </c>
      <c r="L3" s="13" t="inlineStr">
        <is>
          <t>Automated</t>
        </is>
      </c>
      <c r="M3" s="25" t="inlineStr">
        <is>
          <t>Production-safe</t>
        </is>
      </c>
      <c r="N3" s="25" t="inlineStr">
        <is>
          <t>-</t>
        </is>
      </c>
      <c r="O3" s="25" t="inlineStr">
        <is>
          <t>tests/e2e/storefront/navigation/storefront-smoke.spec.ts</t>
        </is>
      </c>
      <c r="P3" s="25" t="inlineStr">
        <is>
          <t>MS-NAV-002 header navigation opens each category product menu</t>
        </is>
      </c>
      <c r="Q3" s="25" t="inlineStr">
        <is>
          <t>@smoke @production</t>
        </is>
      </c>
      <c r="R3" s="13" t="n">
        <v>1</v>
      </c>
      <c r="S3" s="25" t="inlineStr">
        <is>
          <t>Changed by 2026-10-14: a nav item used to navigate to its category page; it now opens a product menu (the category pages still exist by URL). The menu is checked by its links, not its labels, because it uses the pre-rename names (키스컷 스티커, 아트지 롤 스티커, 자유형 시트 스티커 ...) -- MUS-QA-016. A click that lands before hydration follows the plain link to the category page, which is how the old assertion kept passing on static-1; the page object retries until the menu reports open.</t>
        </is>
      </c>
      <c r="T3" s="14" t="inlineStr">
        <is>
          <t>Not Run</t>
        </is>
      </c>
      <c r="U3" s="15" t="n"/>
      <c r="V3" s="15" t="n"/>
      <c r="W3" s="15" t="n"/>
      <c r="X3" s="15" t="n"/>
      <c r="Y3" s="25" t="inlineStr">
        <is>
          <t>MS-V2-002</t>
        </is>
      </c>
    </row>
    <row r="4" ht="150" customHeight="1">
      <c r="A4" s="12" t="inlineStr">
        <is>
          <t>MS-NAV-003</t>
        </is>
      </c>
      <c r="B4" s="25" t="inlineStr">
        <is>
          <t>Storefront</t>
        </is>
      </c>
      <c r="C4" s="25" t="inlineStr">
        <is>
          <t>1. Smoke &amp; core navigation</t>
        </is>
      </c>
      <c r="D4" s="25" t="inlineStr">
        <is>
          <t>Storefront smoke</t>
        </is>
      </c>
      <c r="E4" s="25" t="inlineStr">
        <is>
          <t>The header search dialog opens with focus in the input and returns hologram-related results for '홀로그램'.</t>
        </is>
      </c>
      <c r="F4" s="13" t="inlineStr">
        <is>
          <t>Critical</t>
        </is>
      </c>
      <c r="G4" s="25" t="inlineStr">
        <is>
          <t>Functional</t>
        </is>
      </c>
      <c r="H4" s="25" t="inlineStr">
        <is>
          <t>Anonymous session.</t>
        </is>
      </c>
      <c r="I4" s="25" t="inlineStr">
        <is>
          <t>Search term: 홀로그램</t>
        </is>
      </c>
      <c r="J4" s="25" t="inlineStr">
        <is>
          <t xml:space="preserve">1. Open the home page /kr.
2. Click the header search (magnifier) button.
3. Confirm the '상품 검색' dialog opens with the cursor in the search input.
4. Type '홀로그램' and press Enter.
5. Look at the results inside the dialog.</t>
        </is>
      </c>
      <c r="K4" s="25" t="inlineStr">
        <is>
          <t>Dialog named '상품 검색' is visible and the search input is focused. After searching, at least one element inside the dialog showing text containing '홀로그램' is visible. No unexpected console/HTTP errors (guard fixture).</t>
        </is>
      </c>
      <c r="L4" s="13" t="inlineStr">
        <is>
          <t>Automated</t>
        </is>
      </c>
      <c r="M4" s="25" t="inlineStr">
        <is>
          <t>Production-safe</t>
        </is>
      </c>
      <c r="N4" s="25" t="inlineStr">
        <is>
          <t>-</t>
        </is>
      </c>
      <c r="O4" s="25" t="inlineStr">
        <is>
          <t>tests/e2e/storefront/navigation/storefront-smoke.spec.ts</t>
        </is>
      </c>
      <c r="P4" s="25" t="inlineStr">
        <is>
          <t>MS-NAV-003 header search opens and finds hologram sticker content</t>
        </is>
      </c>
      <c r="Q4" s="25" t="inlineStr">
        <is>
          <t>@smoke @production</t>
        </is>
      </c>
      <c r="R4" s="13" t="n">
        <v>1</v>
      </c>
      <c r="S4" s="25" t="inlineStr">
        <is>
          <t>test-case.md step 5 (select a result and navigate) is not automated; the code stops at asserting a visible '홀로그램' text in the dialog. The search button is located by test id app-header-search-button, not by the accessible name mentioned in test-case.md. Opening is retried up to 3 times (hydration).</t>
        </is>
      </c>
      <c r="T4" s="14" t="inlineStr">
        <is>
          <t>Not Run</t>
        </is>
      </c>
      <c r="U4" s="15" t="n"/>
      <c r="V4" s="15" t="n"/>
      <c r="W4" s="15" t="n"/>
      <c r="X4" s="15" t="n"/>
      <c r="Y4" s="25" t="inlineStr">
        <is>
          <t>MS-V2-003</t>
        </is>
      </c>
    </row>
    <row r="5" ht="150" customHeight="1">
      <c r="A5" s="12" t="inlineStr">
        <is>
          <t>MS-NAV-004</t>
        </is>
      </c>
      <c r="B5" s="25" t="inlineStr">
        <is>
          <t>Storefront</t>
        </is>
      </c>
      <c r="C5" s="25" t="inlineStr">
        <is>
          <t>1. Smoke &amp; core navigation</t>
        </is>
      </c>
      <c r="D5" s="25" t="inlineStr">
        <is>
          <t>Storefront smoke</t>
        </is>
      </c>
      <c r="E5" s="25" t="inlineStr">
        <is>
          <t>An anonymous shopper can open the cart preview drawer from the header and it shows a clean empty state.</t>
        </is>
      </c>
      <c r="F5" s="13" t="inlineStr">
        <is>
          <t>Critical</t>
        </is>
      </c>
      <c r="G5" s="25" t="inlineStr">
        <is>
          <t>Functional</t>
        </is>
      </c>
      <c r="H5" s="25" t="inlineStr">
        <is>
          <t>Anonymous, clean browser context (empty cart).</t>
        </is>
      </c>
      <c r="I5" s="25" t="inlineStr">
        <is>
          <t>-</t>
        </is>
      </c>
      <c r="J5" s="25" t="inlineStr">
        <is>
          <t xml:space="preserve">1. Open the home page /kr.
2. Click the header cart button.
3. Confirm the '장바구니 미리보기' drawer opens.
4. Check the drawer's empty-state message.</t>
        </is>
      </c>
      <c r="K5" s="25" t="inlineStr">
        <is>
          <t>A dialog containing '장바구니 미리보기' (or 'Cart Preview') is visible. If the empty message exists it reads '현재 장바구니가 비어 있습니다.' and is visible; otherwise the drawer heading '장바구니 미리보기' is visible. No unexpected console/HTTP errors (guard fixture).</t>
        </is>
      </c>
      <c r="L5" s="13" t="inlineStr">
        <is>
          <t>Automated</t>
        </is>
      </c>
      <c r="M5" s="25" t="inlineStr">
        <is>
          <t>Production-safe</t>
        </is>
      </c>
      <c r="N5" s="25" t="inlineStr">
        <is>
          <t>-</t>
        </is>
      </c>
      <c r="O5" s="25" t="inlineStr">
        <is>
          <t>tests/e2e/storefront/navigation/storefront-smoke.spec.ts</t>
        </is>
      </c>
      <c r="P5" s="25" t="inlineStr">
        <is>
          <t>MS-NAV-004 empty cart opens without broken state</t>
        </is>
      </c>
      <c r="Q5" s="25" t="inlineStr">
        <is>
          <t>@smoke @production</t>
        </is>
      </c>
      <c r="R5" s="13" t="n">
        <v>1</v>
      </c>
      <c r="S5" s="25" t="inlineStr">
        <is>
          <t>The empty check is lenient: when the empty-message element is absent, only the drawer heading is asserted (no assertion that zero line items exist). test-case.md step 5 (close the cart) is not automated. Cart open is retried up to 3 times.</t>
        </is>
      </c>
      <c r="T5" s="14" t="inlineStr">
        <is>
          <t>Not Run</t>
        </is>
      </c>
      <c r="U5" s="15" t="n"/>
      <c r="V5" s="15" t="n"/>
      <c r="W5" s="15" t="n"/>
      <c r="X5" s="15" t="n"/>
      <c r="Y5" s="25" t="inlineStr">
        <is>
          <t>MS-V2-004</t>
        </is>
      </c>
    </row>
    <row r="6" ht="150" customHeight="1">
      <c r="A6" s="12" t="inlineStr">
        <is>
          <t>MS-NAV-005</t>
        </is>
      </c>
      <c r="B6" s="25" t="inlineStr">
        <is>
          <t>Storefront</t>
        </is>
      </c>
      <c r="C6" s="25" t="inlineStr">
        <is>
          <t>1. Smoke &amp; core navigation</t>
        </is>
      </c>
      <c r="D6" s="25" t="inlineStr">
        <is>
          <t>Storefront smoke</t>
        </is>
      </c>
      <c r="E6" s="25" t="inlineStr">
        <is>
          <t>An anonymous shopper who opens the account menu and chooses login is taken to the login page.</t>
        </is>
      </c>
      <c r="F6" s="13" t="inlineStr">
        <is>
          <t>Critical</t>
        </is>
      </c>
      <c r="G6" s="25" t="inlineStr">
        <is>
          <t>Navigation</t>
        </is>
      </c>
      <c r="H6" s="25" t="inlineStr">
        <is>
          <t>Anonymous session.</t>
        </is>
      </c>
      <c r="I6" s="25" t="inlineStr">
        <is>
          <t>-</t>
        </is>
      </c>
      <c r="J6" s="25" t="inlineStr">
        <is>
          <t xml:space="preserve">1. Open the home page /kr.
2. Click the header account (person) icon to open the account dropdown.
3. Click the login item in the guest dropdown.
4. Check the page URL.</t>
        </is>
      </c>
      <c r="K6" s="25" t="inlineStr">
        <is>
          <t>The account dropdown opens (guest dropdown or menu named '계정 메뉴'). After choosing login, the URL contains /kr/auth/login. No unexpected console/HTTP errors (guard fixture).</t>
        </is>
      </c>
      <c r="L6" s="13" t="inlineStr">
        <is>
          <t>Automated</t>
        </is>
      </c>
      <c r="M6" s="25" t="inlineStr">
        <is>
          <t>Production-safe</t>
        </is>
      </c>
      <c r="N6" s="25" t="inlineStr">
        <is>
          <t>-</t>
        </is>
      </c>
      <c r="O6" s="25" t="inlineStr">
        <is>
          <t>tests/e2e/storefront/navigation/storefront-smoke.spec.ts</t>
        </is>
      </c>
      <c r="P6" s="25" t="inlineStr">
        <is>
          <t>MS-NAV-005 account icon routes anonymous users to authentication</t>
        </is>
      </c>
      <c r="Q6" s="25" t="inlineStr">
        <is>
          <t>@smoke @production</t>
        </is>
      </c>
      <c r="R6" s="13" t="n">
        <v>1</v>
      </c>
      <c r="S6" s="25" t="inlineStr">
        <is>
          <t>test-case.md step 4 (email/password fields visible) is not asserted; the code checks the URL only. The login item is clicked by test id app-header-account-login (its label is not asserted). Menu opening waits ~1s for hydration and retries up to 5 times.</t>
        </is>
      </c>
      <c r="T6" s="14" t="inlineStr">
        <is>
          <t>Not Run</t>
        </is>
      </c>
      <c r="U6" s="15" t="n"/>
      <c r="V6" s="15" t="n"/>
      <c r="W6" s="15" t="n"/>
      <c r="X6" s="15" t="n"/>
      <c r="Y6" s="25" t="inlineStr">
        <is>
          <t>MS-V2-005</t>
        </is>
      </c>
    </row>
    <row r="7" ht="150" customHeight="1">
      <c r="A7" s="12" t="inlineStr">
        <is>
          <t>MS-NAV-006</t>
        </is>
      </c>
      <c r="B7" s="25" t="inlineStr">
        <is>
          <t>Storefront</t>
        </is>
      </c>
      <c r="C7" s="25" t="inlineStr">
        <is>
          <t>1. Smoke &amp; core navigation</t>
        </is>
      </c>
      <c r="D7" s="25" t="inlineStr">
        <is>
          <t>Storefront smoke</t>
        </is>
      </c>
      <c r="E7" s="25" t="inlineStr">
        <is>
          <t>The footer shows business contact details and its 이용약관, 개인정보처리방침 and 자주 묻는 질문 links point to reachable pages.</t>
        </is>
      </c>
      <c r="F7" s="13" t="inlineStr">
        <is>
          <t>Critical</t>
        </is>
      </c>
      <c r="G7" s="25" t="inlineStr">
        <is>
          <t>Navigation</t>
        </is>
      </c>
      <c r="H7" s="25" t="inlineStr">
        <is>
          <t>Anonymous session.</t>
        </is>
      </c>
      <c r="I7" s="25" t="inlineStr">
        <is>
          <t>Footer the logo image (alt 'musticker logo'), '/ 머스티커', '(주)글로픽스', 1899-5529, sales@musticker.com; /kr/terms-of-use, /kr/privacy-policy, /kr/faq</t>
        </is>
      </c>
      <c r="J7" s="25" t="inlineStr">
        <is>
          <t xml:space="preserve">1. Open the home page /kr and check the footer details.
2. Check that the 이용약관 link points to /kr/terms-of-use, then open /kr/terms-of-use.
3. Return home; check that the 개인정보처리방침 link points to /kr/privacy-policy, then open /kr/privacy-policy.
4. Return home; check that the 자주 묻는 질문 link points to /kr/faq, then open /kr/faq.</t>
        </is>
      </c>
      <c r="K7" s="25" t="inlineStr">
        <is>
          <t>Footer contains the logo image (alt 'musticker logo'), '/ 머스티커', '(주)글로픽스', '1899-5529', 'sales@musticker.com'; links '이용약관', '개인정보처리방침', '자주 묻는 질문' are visible. Their hrefs match /kr/terms-of-use, /kr/privacy-policy and /kr/faq. Opening each URL lands on exactly that path (optional trailing slash). No unexpected console/HTTP errors (guard fixture).</t>
        </is>
      </c>
      <c r="L7" s="13" t="inlineStr">
        <is>
          <t>Automated</t>
        </is>
      </c>
      <c r="M7" s="25" t="inlineStr">
        <is>
          <t>Production-safe</t>
        </is>
      </c>
      <c r="N7" s="25" t="inlineStr">
        <is>
          <t>-</t>
        </is>
      </c>
      <c r="O7" s="25" t="inlineStr">
        <is>
          <t>tests/e2e/storefront/navigation/storefront-smoke.spec.ts</t>
        </is>
      </c>
      <c r="P7" s="25" t="inlineStr">
        <is>
          <t>MS-NAV-006 footer legal and support links are reachable</t>
        </is>
      </c>
      <c r="Q7" s="25" t="inlineStr">
        <is>
          <t>@smoke @production</t>
        </is>
      </c>
      <c r="R7" s="13" t="n">
        <v>1</v>
      </c>
      <c r="S7" s="25" t="inlineStr">
        <is>
          <t>The code does not click the links: it checks the href and then navigates to the URL directly. Destination page content is not asserted, only that the URL does not redirect. The footer was redesigned by 2026-10-14: the wordmark is an image followed by "/ 머스티커"; it used to read "MUSTICKER / 머스티커".</t>
        </is>
      </c>
      <c r="T7" s="14" t="inlineStr">
        <is>
          <t>Not Run</t>
        </is>
      </c>
      <c r="U7" s="15" t="n"/>
      <c r="V7" s="15" t="n"/>
      <c r="W7" s="15" t="n"/>
      <c r="X7" s="15" t="n"/>
      <c r="Y7" s="25" t="inlineStr">
        <is>
          <t>MS-V2-020</t>
        </is>
      </c>
    </row>
    <row r="8" ht="150" customHeight="1">
      <c r="A8" s="12" t="inlineStr">
        <is>
          <t>MS-NAV-007</t>
        </is>
      </c>
      <c r="B8" s="25" t="inlineStr">
        <is>
          <t>Storefront</t>
        </is>
      </c>
      <c r="C8" s="25" t="inlineStr">
        <is>
          <t>1. Smoke &amp; core navigation</t>
        </is>
      </c>
      <c r="D8" s="25" t="inlineStr">
        <is>
          <t>Storefront smoke</t>
        </is>
      </c>
      <c r="E8" s="25" t="inlineStr">
        <is>
          <t>Clicking the KR locale control does not break the page and the control stays visible.</t>
        </is>
      </c>
      <c r="F8" s="13" t="inlineStr">
        <is>
          <t>Medium</t>
        </is>
      </c>
      <c r="G8" s="25" t="inlineStr">
        <is>
          <t>UI</t>
        </is>
      </c>
      <c r="H8" s="25" t="inlineStr">
        <is>
          <t>Anonymous session.</t>
        </is>
      </c>
      <c r="I8" s="25" t="inlineStr">
        <is>
          <t>Locale button 'KR'</t>
        </is>
      </c>
      <c r="J8" s="25" t="inlineStr">
        <is>
          <t xml:space="preserve">1. Open the home page /kr.
2. Find the KR locale button (last one on the page).
3. Click it.
4. Confirm it is still visible, then press Escape.</t>
        </is>
      </c>
      <c r="K8" s="25" t="inlineStr">
        <is>
          <t>The 'KR' button is visible before and after clicking. If no 'KR' button exists, the test only checks that the header banner is visible. No unexpected console/HTTP errors (guard fixture).</t>
        </is>
      </c>
      <c r="L8" s="13" t="inlineStr">
        <is>
          <t>Automated</t>
        </is>
      </c>
      <c r="M8" s="25" t="inlineStr">
        <is>
          <t>Production-safe</t>
        </is>
      </c>
      <c r="N8" s="25" t="inlineStr">
        <is>
          <t>-</t>
        </is>
      </c>
      <c r="O8" s="25" t="inlineStr">
        <is>
          <t>tests/e2e/storefront/navigation/storefront-smoke.spec.ts</t>
        </is>
      </c>
      <c r="P8" s="25" t="inlineStr">
        <is>
          <t>MS-NAV-007 Korean locale control is stable</t>
        </is>
      </c>
      <c r="Q8" s="25" t="inlineStr">
        <is>
          <t>@smoke @production</t>
        </is>
      </c>
      <c r="R8" s="13" t="n">
        <v>1</v>
      </c>
      <c r="S8" s="25" t="inlineStr">
        <is>
          <t>Conditional pass: with no KR button the test still passes on header visibility. It does not check that a locale menu opens or that Korean stays selected. Tags differ from test-case.md (@regression there, @smoke in code). The KR .locale-toggle button is a known color-contrast defect (see MS-UX-004).</t>
        </is>
      </c>
      <c r="T8" s="14" t="inlineStr">
        <is>
          <t>Not Run</t>
        </is>
      </c>
      <c r="U8" s="15" t="n"/>
      <c r="V8" s="15" t="n"/>
      <c r="W8" s="15" t="n"/>
      <c r="X8" s="15" t="n"/>
      <c r="Y8" s="25" t="inlineStr">
        <is>
          <t>MS-V2-021</t>
        </is>
      </c>
    </row>
    <row r="9" ht="150" customHeight="1">
      <c r="A9" s="12" t="inlineStr">
        <is>
          <t>MS-NAV-008</t>
        </is>
      </c>
      <c r="B9" s="25" t="inlineStr">
        <is>
          <t>Storefront</t>
        </is>
      </c>
      <c r="C9" s="25" t="inlineStr">
        <is>
          <t>1. Smoke &amp; core navigation</t>
        </is>
      </c>
      <c r="D9" s="25" t="inlineStr">
        <is>
          <t>Mobile critical path</t>
        </is>
      </c>
      <c r="E9" s="25" t="inlineStr">
        <is>
          <t>On a mobile phone viewport a shopper can use home, search, cart, die-cut sticker configuration, and sees the inquiry form.</t>
        </is>
      </c>
      <c r="F9" s="13" t="inlineStr">
        <is>
          <t>Critical</t>
        </is>
      </c>
      <c r="G9" s="25" t="inlineStr">
        <is>
          <t>E2E</t>
        </is>
      </c>
      <c r="H9" s="25" t="inlineStr">
        <is>
          <t>Anonymous session; chromium-mobile project (Pixel 7 emulation).</t>
        </is>
      </c>
      <c r="I9" s="25" t="inlineStr">
        <is>
          <t>Search term: 스티커; product /kr/stickers/die-cut-sticker (자유형 조각스티커); size 중형 75x75; quantity 100</t>
        </is>
      </c>
      <c r="J9" s="25" t="inlineStr">
        <is>
          <t xml:space="preserve">1. On a Pixel 7 viewport open /kr and wait for the hero heading '스티커ㅋㅋㅋ, 이유가 있구나'.
2. Tap the header search button, type '스티커', press Enter, then press Escape to close.
3. Tap the header cart button, confirm the '장바구니 미리보기' drawer opens, then press Escape.
4. Open /kr/stickers/die-cut-sticker and confirm the 자유형 조각스티커 heading and options panel.
5. Select size 중형 75x75 and quantity 100.
6. Confirm the 다음 단계 button is enabled.
7. Return to /kr and confirm the inquiry button 제작 문의하기 (or 1:1문의하기) and form fields are present.</t>
        </is>
      </c>
      <c r="K9" s="25" t="inlineStr">
        <is>
          <t>Hero heading visible. Search dialog '상품 검색' opens with the input focused. Cart drawer '장바구니 미리보기' opens. Product heading '자유형 조각스티커' and the options panel are visible. After choosing 중형 75x75 and the 100 quantity option (label '100 ... N원'), the '다음 단계' button is enabled. Inquiry button visible; name, email and message fields plus one file input exist. No unexpected console/HTTP errors (guard fixture, with transient cart-create, API CORS and product-page 502/503 failures tolerated).</t>
        </is>
      </c>
      <c r="L9" s="13" t="inlineStr">
        <is>
          <t>Automated</t>
        </is>
      </c>
      <c r="M9" s="25" t="inlineStr">
        <is>
          <t>Production-safe</t>
        </is>
      </c>
      <c r="N9" s="25" t="inlineStr">
        <is>
          <t>E2E_BROWSER_PROJECT=chromium-mobile (desktop projects exclude @mobile), e.g. npm run test:prod:mobile</t>
        </is>
      </c>
      <c r="O9" s="25" t="inlineStr">
        <is>
          <t>tests/e2e/storefront/navigation/mobile-critical.spec.ts</t>
        </is>
      </c>
      <c r="P9" s="25" t="inlineStr">
        <is>
          <t>MS-NAV-008 home, search, cart, product config, and inquiry work on mobile</t>
        </is>
      </c>
      <c r="Q9" s="25" t="inlineStr">
        <is>
          <t>@smoke @production @mobile</t>
        </is>
      </c>
      <c r="R9" s="13" t="n">
        <v>1</v>
      </c>
      <c r="S9" s="25" t="inlineStr">
        <is>
          <t>Search results are not asserted and closing search is best-effort (errors swallowed). The inquiry form is not opened by a tap: the code only checks the CTA is visible and the fields exist in the DOM. Category navigation / mobile menu (test-case.md step 2) is not tested. Does not run in test:prod:smoke because the default chromium-desktop project excludes @mobile. Product heading self-heals on rename.</t>
        </is>
      </c>
      <c r="T9" s="14" t="inlineStr">
        <is>
          <t>Not Run</t>
        </is>
      </c>
      <c r="U9" s="15" t="n"/>
      <c r="V9" s="15" t="n"/>
      <c r="W9" s="15" t="n"/>
      <c r="X9" s="15" t="n"/>
      <c r="Y9" s="25" t="inlineStr">
        <is>
          <t>MS-V2-022</t>
        </is>
      </c>
    </row>
    <row r="10" ht="150" customHeight="1">
      <c r="A10" s="12" t="inlineStr">
        <is>
          <t>MS-DSC-001</t>
        </is>
      </c>
      <c r="B10" s="25" t="inlineStr">
        <is>
          <t>Storefront</t>
        </is>
      </c>
      <c r="C10" s="25" t="inlineStr">
        <is>
          <t>2. Discovery &amp; content</t>
        </is>
      </c>
      <c r="D10" s="25" t="inlineStr">
        <is>
          <t>Category discovery</t>
        </is>
      </c>
      <c r="E10" s="25" t="inlineStr">
        <is>
          <t>The 스티커 category page lists all 12 sticker products and the first card opens its product page.</t>
        </is>
      </c>
      <c r="F10" s="13" t="inlineStr">
        <is>
          <t>High</t>
        </is>
      </c>
      <c r="G10" s="25" t="inlineStr">
        <is>
          <t>Functional</t>
        </is>
      </c>
      <c r="H10" s="25" t="inlineStr">
        <is>
          <t>Anonymous session.</t>
        </is>
      </c>
      <c r="I10" s="25" t="inlineStr">
        <is>
          <t>Products (name -&gt; path): 자유형 조각스티커 (die-cut-sticker), 원형 스티커 (circle-sticker), 직사각형 스티커 (rectangle-sticker), 정사각형 스티커 (square-sticker), 타원형 스티커 (oval-sticker), 둥근 사각 스티커 (rounded-sticker), 도무송 스티커 (kiss-cut-sticker), 판스티커 (sticker-sheet), 투명 스티커 (clear-sticker), 홀로그램 스티커 (hologram-sticker), 풀 컬러 레터링 스티커 (transfer-sticker), 글자 커팅 스티커 (vinyl-lettering)</t>
        </is>
      </c>
      <c r="J10" s="25" t="inlineStr">
        <is>
          <t xml:space="preserve">1. Open /kr/stickers.
2. Verify the page heading 스티커.
3. Verify each of the 12 product cards/links is visible.
4. Click the first product 자유형 조각스티커.
5. Check the URL.</t>
        </is>
      </c>
      <c r="K10" s="25" t="inlineStr">
        <is>
          <t>Heading exactly '스티커' is visible. A visible link exists for each of the 12 product names. After clicking 자유형 조각스티커 the URL ends with /stickers/die-cut-sticker. No unexpected console/HTTP errors (guard fixture).</t>
        </is>
      </c>
      <c r="L10" s="13" t="inlineStr">
        <is>
          <t>Automated</t>
        </is>
      </c>
      <c r="M10" s="25" t="inlineStr">
        <is>
          <t>Production-safe</t>
        </is>
      </c>
      <c r="N10" s="25" t="inlineStr">
        <is>
          <t>-</t>
        </is>
      </c>
      <c r="O10" s="25" t="inlineStr">
        <is>
          <t>tests/e2e/storefront/discovery/category-discovery.spec.ts</t>
        </is>
      </c>
      <c r="P10" s="25" t="inlineStr">
        <is>
          <t>MS-DSC-001 sticker category lists expected product links</t>
        </is>
      </c>
      <c r="Q10" s="25" t="inlineStr">
        <is>
          <t>@regression @production @discovery</t>
        </is>
      </c>
      <c r="R10" s="13" t="n">
        <v>1</v>
      </c>
      <c r="S10" s="25" t="inlineStr">
        <is>
          <t>test-case.md step 5 (product page heading visible) is not asserted; the code checks the URL only. Self-heal: a renamed card is found by its href slug and recorded as 'self-healed'. Card names re-captured from production 2026-09-25 after the product rename. Tag @discovery is not in test-case.md.</t>
        </is>
      </c>
      <c r="T10" s="14" t="inlineStr">
        <is>
          <t>Not Run</t>
        </is>
      </c>
      <c r="U10" s="15" t="n"/>
      <c r="V10" s="15" t="n"/>
      <c r="W10" s="15" t="n"/>
      <c r="X10" s="15" t="n"/>
      <c r="Y10" s="25" t="inlineStr">
        <is>
          <t>MS-V2-006</t>
        </is>
      </c>
    </row>
    <row r="11" ht="150" customHeight="1">
      <c r="A11" s="12" t="inlineStr">
        <is>
          <t>MS-DSC-002</t>
        </is>
      </c>
      <c r="B11" s="25" t="inlineStr">
        <is>
          <t>Storefront</t>
        </is>
      </c>
      <c r="C11" s="25" t="inlineStr">
        <is>
          <t>2. Discovery &amp; content</t>
        </is>
      </c>
      <c r="D11" s="25" t="inlineStr">
        <is>
          <t>Category discovery</t>
        </is>
      </c>
      <c r="E11" s="25" t="inlineStr">
        <is>
          <t>The 롤스티커 category page lists all 8 roll sticker products and the first card opens its product page.</t>
        </is>
      </c>
      <c r="F11" s="13" t="inlineStr">
        <is>
          <t>High</t>
        </is>
      </c>
      <c r="G11" s="25" t="inlineStr">
        <is>
          <t>Functional</t>
        </is>
      </c>
      <c r="H11" s="25" t="inlineStr">
        <is>
          <t>Anonymous session.</t>
        </is>
      </c>
      <c r="I11" s="25" t="inlineStr">
        <is>
          <t>Products (name -&gt; path): 자유형 롤 스티커 (die-cut-roll), 투명 롤 스티커 (clear-roll), 원형 롤 스티커 (circle-roll), 정사각형 롤 스티커 (square-roll), 직사각형 롤 스티커 (rectangle-roll), 둥근 사각 롤 스티커 (rounded-roll), 타원형 롤 스티커 (oval-roll), 종이 롤 스티커 (paper-roll)</t>
        </is>
      </c>
      <c r="J11" s="25" t="inlineStr">
        <is>
          <t xml:space="preserve">1. Open /kr/roll-stickers.
2. Verify the page heading 롤스티커.
3. Verify each of the 8 product cards/links is visible.
4. Click the first product 자유형 롤 스티커.
5. Check the URL.</t>
        </is>
      </c>
      <c r="K11" s="25" t="inlineStr">
        <is>
          <t>Heading exactly '롤스티커' is visible. A visible link exists for each of the 8 product names. After clicking 자유형 롤 스티커 the URL ends with /roll-stickers/die-cut-roll. No unexpected console/HTTP errors (guard fixture).</t>
        </is>
      </c>
      <c r="L11" s="13" t="inlineStr">
        <is>
          <t>Automated</t>
        </is>
      </c>
      <c r="M11" s="25" t="inlineStr">
        <is>
          <t>Production-safe</t>
        </is>
      </c>
      <c r="N11" s="25" t="inlineStr">
        <is>
          <t>-</t>
        </is>
      </c>
      <c r="O11" s="25" t="inlineStr">
        <is>
          <t>tests/e2e/storefront/discovery/category-discovery.spec.ts</t>
        </is>
      </c>
      <c r="P11" s="25" t="inlineStr">
        <is>
          <t>MS-DSC-002 roll sticker category lists expected product links</t>
        </is>
      </c>
      <c r="Q11" s="25" t="inlineStr">
        <is>
          <t>@regression @production @discovery</t>
        </is>
      </c>
      <c r="R11" s="13" t="n">
        <v>1</v>
      </c>
      <c r="S11" s="25" t="inlineStr">
        <is>
          <t>test-case.md step 5 (product page heading visible) is not asserted; URL only. Self-heal by href slug applies. 종이 롤 스티커 was formerly 아트지 롤 (rename 2026-09). Tag @discovery is not in test-case.md.</t>
        </is>
      </c>
      <c r="T11" s="14" t="inlineStr">
        <is>
          <t>Not Run</t>
        </is>
      </c>
      <c r="U11" s="15" t="n"/>
      <c r="V11" s="15" t="n"/>
      <c r="W11" s="15" t="n"/>
      <c r="X11" s="15" t="n"/>
      <c r="Y11" s="25" t="inlineStr">
        <is>
          <t>MS-V2-007</t>
        </is>
      </c>
    </row>
    <row r="12" ht="150" customHeight="1">
      <c r="A12" s="12" t="inlineStr">
        <is>
          <t>MS-DSC-003</t>
        </is>
      </c>
      <c r="B12" s="25" t="inlineStr">
        <is>
          <t>Storefront</t>
        </is>
      </c>
      <c r="C12" s="25" t="inlineStr">
        <is>
          <t>2. Discovery &amp; content</t>
        </is>
      </c>
      <c r="D12" s="25" t="inlineStr">
        <is>
          <t>Category discovery</t>
        </is>
      </c>
      <c r="E12" s="25" t="inlineStr">
        <is>
          <t>The 판스티커 category page lists all 6 sheet sticker products and the first card opens its product page.</t>
        </is>
      </c>
      <c r="F12" s="13" t="inlineStr">
        <is>
          <t>High</t>
        </is>
      </c>
      <c r="G12" s="25" t="inlineStr">
        <is>
          <t>Functional</t>
        </is>
      </c>
      <c r="H12" s="25" t="inlineStr">
        <is>
          <t>Anonymous session.</t>
        </is>
      </c>
      <c r="I12" s="25" t="inlineStr">
        <is>
          <t>Products (name -&gt; path): 자유형 판스티커 (die-cut-sheet), 원형 판스티커 (circle-sheet), 타원형 판스티커 (oval-sheet), 정사각형 판스티커 (square-sheet), 직사각형 판스티커 (rectangle-sheet), 둥근 사각 판스티커 (rounded-sheet)</t>
        </is>
      </c>
      <c r="J12" s="25" t="inlineStr">
        <is>
          <t xml:space="preserve">1. Open /kr/sheet-stickers.
2. Verify the page heading 판스티커.
3. Verify each of the 6 product cards/links is visible.
4. Click the first product 자유형 판스티커.
5. Check the URL.</t>
        </is>
      </c>
      <c r="K12" s="25" t="inlineStr">
        <is>
          <t>Heading exactly '판스티커' is visible. A visible link exists for each of the 6 product names. After clicking 자유형 판스티커 the URL ends with /sheet-stickers/die-cut-sheet. No unexpected console/HTTP errors (guard fixture).</t>
        </is>
      </c>
      <c r="L12" s="13" t="inlineStr">
        <is>
          <t>Automated</t>
        </is>
      </c>
      <c r="M12" s="25" t="inlineStr">
        <is>
          <t>Production-safe</t>
        </is>
      </c>
      <c r="N12" s="25" t="inlineStr">
        <is>
          <t>-</t>
        </is>
      </c>
      <c r="O12" s="25" t="inlineStr">
        <is>
          <t>tests/e2e/storefront/discovery/category-discovery.spec.ts</t>
        </is>
      </c>
      <c r="P12" s="25" t="inlineStr">
        <is>
          <t>MS-DSC-003 sheet sticker category lists expected product links</t>
        </is>
      </c>
      <c r="Q12" s="25" t="inlineStr">
        <is>
          <t>@regression @production @discovery</t>
        </is>
      </c>
      <c r="R12" s="13" t="n">
        <v>1</v>
      </c>
      <c r="S12" s="25" t="inlineStr">
        <is>
          <t>test-case.md step 5 (product page heading visible) is not asserted; URL only. Self-heal by href slug applies. All 시트 스티커 names were renamed to 판스티커 (2026-09). Tag @discovery is not in test-case.md.</t>
        </is>
      </c>
      <c r="T12" s="14" t="inlineStr">
        <is>
          <t>Not Run</t>
        </is>
      </c>
      <c r="U12" s="15" t="n"/>
      <c r="V12" s="15" t="n"/>
      <c r="W12" s="15" t="n"/>
      <c r="X12" s="15" t="n"/>
      <c r="Y12" s="25" t="inlineStr">
        <is>
          <t>MS-V2-008</t>
        </is>
      </c>
    </row>
    <row r="13" ht="150" customHeight="1">
      <c r="A13" s="12" t="inlineStr">
        <is>
          <t>MS-DSC-004</t>
        </is>
      </c>
      <c r="B13" s="25" t="inlineStr">
        <is>
          <t>Storefront</t>
        </is>
      </c>
      <c r="C13" s="25" t="inlineStr">
        <is>
          <t>2. Discovery &amp; content</t>
        </is>
      </c>
      <c r="D13" s="25" t="inlineStr">
        <is>
          <t>FAQ</t>
        </is>
      </c>
      <c r="E13" s="25" t="inlineStr">
        <is>
          <t>The FAQ page shows its six topic filters and an order-related question can be expanded.</t>
        </is>
      </c>
      <c r="F13" s="13" t="inlineStr">
        <is>
          <t>Critical</t>
        </is>
      </c>
      <c r="G13" s="25" t="inlineStr">
        <is>
          <t>Functional</t>
        </is>
      </c>
      <c r="H13" s="25" t="inlineStr">
        <is>
          <t>Anonymous session.</t>
        </is>
      </c>
      <c r="I13" s="25" t="inlineStr">
        <is>
          <t>Topics: 멤버십, 주문, 디자인 파일 업로드, 인쇄, 결제, 반품/환불; question '비회원으로도 주문이 가능한가요?'</t>
        </is>
      </c>
      <c r="J13" s="25" t="inlineStr">
        <is>
          <t xml:space="preserve">1. Open /kr/faq.
2. Verify the hero text 도움이 필요하신가요?.
3. Verify the topic labels 멤버십, 주문, 디자인 파일 업로드, 인쇄, 결제, 반품/환불 are visible.
4. Click the 주문 topic.
5. Click the question button '비회원으로도 주문이 가능한가요?' (or the first question button mentioning 주문/비회원/혜택).</t>
        </is>
      </c>
      <c r="K13" s="25" t="inlineStr">
        <is>
          <t>Page text contains '도움이 필요하신가요?'. Each of the six topic labels is visible (exact text). The question button is visible and clickable. After expanding, the page text contains one of 비회원, 주문, 혜택, 멤버십. No unexpected console/HTTP errors (guard fixture).</t>
        </is>
      </c>
      <c r="L13" s="13" t="inlineStr">
        <is>
          <t>Automated</t>
        </is>
      </c>
      <c r="M13" s="25" t="inlineStr">
        <is>
          <t>Production-safe</t>
        </is>
      </c>
      <c r="N13" s="25" t="inlineStr">
        <is>
          <t>-</t>
        </is>
      </c>
      <c r="O13" s="25" t="inlineStr">
        <is>
          <t>tests/e2e/storefront/discovery/faq.spec.ts</t>
        </is>
      </c>
      <c r="P13" s="25" t="inlineStr">
        <is>
          <t>MS-DSC-004 FAQ topics and accordions are usable</t>
        </is>
      </c>
      <c r="Q13" s="25" t="inlineStr">
        <is>
          <t>@smoke @regression @production</t>
        </is>
      </c>
      <c r="R13" s="13" t="n">
        <v>1</v>
      </c>
      <c r="S13" s="25" t="inlineStr">
        <is>
          <t>The final assertion is weak: the words it looks for are already on the page before expansion, so it does not prove that an answer panel opened (test-case.md step 6 expects an answer panel). A failed click on the 주문 topic is swallowed. Tags differ from test-case.md (code adds @regression).</t>
        </is>
      </c>
      <c r="T13" s="14" t="inlineStr">
        <is>
          <t>Not Run</t>
        </is>
      </c>
      <c r="U13" s="15" t="n"/>
      <c r="V13" s="15" t="n"/>
      <c r="W13" s="15" t="n"/>
      <c r="X13" s="15" t="n"/>
      <c r="Y13" s="25" t="inlineStr">
        <is>
          <t>MS-V2-015</t>
        </is>
      </c>
    </row>
    <row r="14" ht="150" customHeight="1">
      <c r="A14" s="12" t="inlineStr">
        <is>
          <t>MS-DSC-005</t>
        </is>
      </c>
      <c r="B14" s="25" t="inlineStr">
        <is>
          <t>Storefront</t>
        </is>
      </c>
      <c r="C14" s="25" t="inlineStr">
        <is>
          <t>2. Discovery &amp; content</t>
        </is>
      </c>
      <c r="D14" s="25" t="inlineStr">
        <is>
          <t>FAQ</t>
        </is>
      </c>
      <c r="E14" s="25" t="inlineStr">
        <is>
          <t>Typing '쿠폰' into the FAQ search shows coupon content, and clearing the search brings back the default question list.</t>
        </is>
      </c>
      <c r="F14" s="13" t="inlineStr">
        <is>
          <t>High</t>
        </is>
      </c>
      <c r="G14" s="25" t="inlineStr">
        <is>
          <t>Functional</t>
        </is>
      </c>
      <c r="H14" s="25" t="inlineStr">
        <is>
          <t>Anonymous session.</t>
        </is>
      </c>
      <c r="I14" s="25" t="inlineStr">
        <is>
          <t>Search term: 쿠폰; search placeholder '궁금한 사항을 입력해주세요.'</t>
        </is>
      </c>
      <c r="J14" s="25" t="inlineStr">
        <is>
          <t xml:space="preserve">1. Open /kr/faq and wait for the text 도움이 필요하신가요?.
2. Type '쿠폰' into the search box with placeholder '궁금한 사항을 입력해주세요.'.
3. Check the displayed FAQ content.
4. Clear the search box.
5. Check the default question list.</t>
        </is>
      </c>
      <c r="K14" s="25" t="inlineStr">
        <is>
          <t>After typing, the page text contains '쿠폰'. After clearing, a button whose name contains '회원가입' is visible (default list restored). No unexpected console/HTTP errors (guard fixture).</t>
        </is>
      </c>
      <c r="L14" s="13" t="inlineStr">
        <is>
          <t>Automated</t>
        </is>
      </c>
      <c r="M14" s="25" t="inlineStr">
        <is>
          <t>Production-safe</t>
        </is>
      </c>
      <c r="N14" s="25" t="inlineStr">
        <is>
          <t>-</t>
        </is>
      </c>
      <c r="O14" s="25" t="inlineStr">
        <is>
          <t>tests/e2e/storefront/discovery/faq.spec.ts</t>
        </is>
      </c>
      <c r="P14" s="25" t="inlineStr">
        <is>
          <t>MS-DSC-005 FAQ search filters and resets content</t>
        </is>
      </c>
      <c r="Q14" s="25" t="inlineStr">
        <is>
          <t>@smoke @regression @production</t>
        </is>
      </c>
      <c r="R14" s="13" t="n">
        <v>1</v>
      </c>
      <c r="S14" s="25" t="inlineStr">
        <is>
          <t>The code does not check that non-matching questions are hidden (it only checks that '쿠폰' appears somewhere on the page). Tags differ from test-case.md (code adds @smoke).</t>
        </is>
      </c>
      <c r="T14" s="14" t="inlineStr">
        <is>
          <t>Not Run</t>
        </is>
      </c>
      <c r="U14" s="15" t="n"/>
      <c r="V14" s="15" t="n"/>
      <c r="W14" s="15" t="n"/>
      <c r="X14" s="15" t="n"/>
      <c r="Y14" s="25" t="inlineStr">
        <is>
          <t>MS-V2-016</t>
        </is>
      </c>
    </row>
    <row r="15" ht="150" customHeight="1">
      <c r="A15" s="12" t="inlineStr">
        <is>
          <t>MS-DSC-006</t>
        </is>
      </c>
      <c r="B15" s="25" t="inlineStr">
        <is>
          <t>Storefront</t>
        </is>
      </c>
      <c r="C15" s="25" t="inlineStr">
        <is>
          <t>2. Discovery &amp; content</t>
        </is>
      </c>
      <c r="D15" s="25" t="inlineStr">
        <is>
          <t>About page</t>
        </is>
      </c>
      <c r="E15" s="25" t="inlineStr">
        <is>
          <t>The About page shows its hero, stats, sub-navigation, CTAs and footer.</t>
        </is>
      </c>
      <c r="F15" s="13" t="inlineStr">
        <is>
          <t>Medium</t>
        </is>
      </c>
      <c r="G15" s="25" t="inlineStr">
        <is>
          <t>UI</t>
        </is>
      </c>
      <c r="H15" s="25" t="inlineStr">
        <is>
          <t>Anonymous session.</t>
        </is>
      </c>
      <c r="I15" s="25" t="inlineStr">
        <is>
          <t>Hero '우리가 만드는 것은'; stats '10년+', '수십만 건'; sub-nav 왜 만들었나, 우리의 철학, 왜 빠른가, 우리가 가는 길; CTAs 우리의 이야기 보기, 바로 주문하기</t>
        </is>
      </c>
      <c r="J15" s="25" t="inlineStr">
        <is>
          <t xml:space="preserve">1. Open /kr/about and wait for the main heading.
2. Check the hero text and stats.
3. Check the four sub-navigation buttons.
4. Check the two CTA buttons.
5. Check the footer brand and legal links.</t>
        </is>
      </c>
      <c r="K15" s="25" t="inlineStr">
        <is>
          <t>An H1 is visible. Page text contains '우리가 만드는 것은', '10년+' and '수십만 건'. Buttons '왜 만들었나', '우리의 철학', '왜 빠른가', '우리가 가는 길' are visible. Buttons '우리의 이야기 보기' and '바로 주문하기' are visible. Footer contains '/ 머스티커'; links '이용약관' and '개인정보처리방침' are visible. No unexpected console/HTTP errors (guard fixture).</t>
        </is>
      </c>
      <c r="L15" s="13" t="inlineStr">
        <is>
          <t>Automated</t>
        </is>
      </c>
      <c r="M15" s="25" t="inlineStr">
        <is>
          <t>Production-safe</t>
        </is>
      </c>
      <c r="N15" s="25" t="inlineStr">
        <is>
          <t>-</t>
        </is>
      </c>
      <c r="O15" s="25" t="inlineStr">
        <is>
          <t>tests/e2e/storefront/discovery/about.spec.ts</t>
        </is>
      </c>
      <c r="P15" s="25" t="inlineStr">
        <is>
          <t>MS-DSC-006 about page loads hero, sub-nav, stats, and CTAs</t>
        </is>
      </c>
      <c r="Q15" s="25" t="inlineStr">
        <is>
          <t>@smoke @production</t>
        </is>
      </c>
      <c r="R15" s="13" t="n">
        <v>1</v>
      </c>
      <c r="S15" s="25" t="inlineStr">
        <is>
          <t>Sub-nav buttons and CTAs are checked for visibility only; they are not clicked. The footer was redesigned by 2026-10-14: the wordmark is an image followed by "/ 머스티커"; it used to read "MUSTICKER / 머스티커".</t>
        </is>
      </c>
      <c r="T15" s="14" t="inlineStr">
        <is>
          <t>Not Run</t>
        </is>
      </c>
      <c r="U15" s="15" t="n"/>
      <c r="V15" s="15" t="n"/>
      <c r="W15" s="15" t="n"/>
      <c r="X15" s="15" t="n"/>
      <c r="Y15" s="25" t="inlineStr">
        <is>
          <t>MS-V2-039</t>
        </is>
      </c>
    </row>
    <row r="16" ht="150" customHeight="1">
      <c r="A16" s="12" t="inlineStr">
        <is>
          <t>MS-DSC-007</t>
        </is>
      </c>
      <c r="B16" s="25" t="inlineStr">
        <is>
          <t>Storefront</t>
        </is>
      </c>
      <c r="C16" s="25" t="inlineStr">
        <is>
          <t>2. Discovery &amp; content</t>
        </is>
      </c>
      <c r="D16" s="25" t="inlineStr">
        <is>
          <t>Catalog crawl</t>
        </is>
      </c>
      <c r="E16" s="25" t="inlineStr">
        <is>
          <t>Each of 23 catalog product pages opens directly at its own URL with a main heading and the product options panel.</t>
        </is>
      </c>
      <c r="F16" s="13" t="inlineStr">
        <is>
          <t>High</t>
        </is>
      </c>
      <c r="G16" s="25" t="inlineStr">
        <is>
          <t>Regression</t>
        </is>
      </c>
      <c r="H16" s="25" t="inlineStr">
        <is>
          <t>Anonymous session.</t>
        </is>
      </c>
      <c r="I16" s="25" t="inlineStr">
        <is>
          <t>23 paths under /kr: stickers/sticker-sheet, stickers/hologram-sticker, stickers/vinyl-lettering, stickers/circle-sticker, stickers/rectangle-sticker, stickers/square-sticker, stickers/oval-sticker, stickers/rounded-sticker, stickers/kiss-cut-sticker, stickers/clear-sticker, stickers/transfer-sticker, roll-stickers/clear-roll, roll-stickers/circle-roll, roll-stickers/square-roll, roll-stickers/rectangle-roll, roll-stickers/rounded-roll, roll-stickers/oval-roll, roll-stickers/paper-roll, sheet-stickers/circle-sheet, sheet-stickers/oval-sheet, sheet-stickers/square-sheet, sheet-stickers/rectangle-sheet, sheet-stickers/rounded-sheet</t>
        </is>
      </c>
      <c r="J16" s="25" t="inlineStr">
        <is>
          <t xml:space="preserve">1. Open the product page URL directly (e.g. /kr/stickers/sticker-sheet).
2. Check the URL was not redirected.
3. Check a main (level-1) heading is visible.
4. Check the product options panel (size/quantity options) is visible.
5. Repeat for each of the 23 paths.</t>
        </is>
      </c>
      <c r="K16" s="25" t="inlineStr">
        <is>
          <t>URL still ends with the requested path (optional trailing slash). An H1 is visible. The options panel (test id product-category-options, or a sidebar containing 사이즈/수량/Size/Quantity) is visible. No unexpected console/HTTP errors (guard fixture; transient product-page 502/503 tolerated).</t>
        </is>
      </c>
      <c r="L16" s="13" t="inlineStr">
        <is>
          <t>Automated</t>
        </is>
      </c>
      <c r="M16" s="25" t="inlineStr">
        <is>
          <t>Production-safe</t>
        </is>
      </c>
      <c r="N16" s="25" t="inlineStr">
        <is>
          <t>-</t>
        </is>
      </c>
      <c r="O16" s="25" t="inlineStr">
        <is>
          <t>tests/e2e/storefront/discovery/catalog-crawl.spec.ts</t>
        </is>
      </c>
      <c r="P16" s="25" t="inlineStr">
        <is>
          <t>MS-DSC-007 catalog page renders without error: ./stickers/sticker-sheet</t>
        </is>
      </c>
      <c r="Q16" s="25" t="inlineStr">
        <is>
          <t>@regression @production</t>
        </is>
      </c>
      <c r="R16" s="13" t="n">
        <v>23</v>
      </c>
      <c r="S16" s="25" t="inlineStr">
        <is>
          <t>Render-only: the H1 text is not compared with an expected product name, and no option is selected. The three representative products (die-cut-sticker, die-cut-roll, die-cut-sheet) are deliberately excluded (covered in product-config.spec.ts). Sporadic 403s on production are WAF throttling; the navigation helper retries them.</t>
        </is>
      </c>
      <c r="T16" s="14" t="inlineStr">
        <is>
          <t>Not Run</t>
        </is>
      </c>
      <c r="U16" s="15" t="n"/>
      <c r="V16" s="15" t="n"/>
      <c r="W16" s="15" t="n"/>
      <c r="X16" s="15" t="n"/>
      <c r="Y16" s="25" t="inlineStr">
        <is>
          <t>MS-V2-040</t>
        </is>
      </c>
    </row>
    <row r="17" ht="150" customHeight="1">
      <c r="A17" s="12" t="inlineStr">
        <is>
          <t>MS-CFG-001</t>
        </is>
      </c>
      <c r="B17" s="25" t="inlineStr">
        <is>
          <t>Storefront</t>
        </is>
      </c>
      <c r="C17" s="25" t="inlineStr">
        <is>
          <t>3. Product configuration</t>
        </is>
      </c>
      <c r="D17" s="25" t="inlineStr">
        <is>
          <t>Product config</t>
        </is>
      </c>
      <c r="E17" s="25" t="inlineStr">
        <is>
          <t>The die-cut sticker page lets a shopper pick a size and quantity, shows a price, and moves on to the next step.</t>
        </is>
      </c>
      <c r="F17" s="13" t="inlineStr">
        <is>
          <t>Critical</t>
        </is>
      </c>
      <c r="G17" s="25" t="inlineStr">
        <is>
          <t>Functional</t>
        </is>
      </c>
      <c r="H17" s="25" t="inlineStr">
        <is>
          <t>Anonymous (guest) session; storefront reachable at the configured BASE_URL (E2E_ENVIRONMENT / .env). No login needed.</t>
        </is>
      </c>
      <c r="I17" s="25" t="inlineStr">
        <is>
          <t>Product: 자유형 조각스티커 (/kr/stickers/die-cut-sticker); size: 중형 75x75; quantity: 100</t>
        </is>
      </c>
      <c r="J17" s="25" t="inlineStr">
        <is>
          <t xml:space="preserve">1. Open /kr/stickers/die-cut-sticker.
2. Check the H1 reads 자유형 조각스티커 and the options panel is shown.
3. Click the size button 중형 75x75.
4. Click the quantity tier that starts with 100 and shows a won price.
5. Check a price is shown and 다음 단계 is enabled.
6. Click 다음 단계.</t>
        </is>
      </c>
      <c r="K17" s="25" t="inlineStr">
        <is>
          <t>H1 is 자유형 조각스티커 and the options panel is visible; a won amount (e.g. "12,300원") is visible in the options panel; 다음 단계 is enabled; Clicking 다음 단계 opens a dialog, or text matching 업로드 / 디자인 / 장바구니 / Upload / Cart becomes visible.</t>
        </is>
      </c>
      <c r="L17" s="13" t="inlineStr">
        <is>
          <t>Automated</t>
        </is>
      </c>
      <c r="M17" s="25" t="inlineStr">
        <is>
          <t>Production-safe</t>
        </is>
      </c>
      <c r="N17" s="25" t="inlineStr">
        <is>
          <t>-</t>
        </is>
      </c>
      <c r="O17" s="25" t="inlineStr">
        <is>
          <t>tests/e2e/storefront/configuration/product-config.spec.ts</t>
        </is>
      </c>
      <c r="P17" s="25" t="inlineStr">
        <is>
          <t>MS-CFG-001 die-cut sticker supports size and quantity selection</t>
        </is>
      </c>
      <c r="Q17" s="25" t="inlineStr">
        <is>
          <t>@regression @production @purchasing</t>
        </is>
      </c>
      <c r="R17" s="13" t="n">
        <v>1</v>
      </c>
      <c r="S17" s="25" t="inlineStr">
        <is>
          <t>test-case.md says to check that the price changes from the default and that a per-unit price is visible. The code only checks that some won amount is visible, with no comparison and no per-unit check. The progression check is loose: any dialog, or visible text containing 장바구니/Upload etc., passes it. If the H1 has been renamed, a self-heal fallback can accept it.</t>
        </is>
      </c>
      <c r="T17" s="14" t="inlineStr">
        <is>
          <t>Not Run</t>
        </is>
      </c>
      <c r="U17" s="15" t="n"/>
      <c r="V17" s="15" t="n"/>
      <c r="W17" s="15" t="n"/>
      <c r="X17" s="15" t="n"/>
      <c r="Y17" s="25" t="inlineStr">
        <is>
          <t>MS-V2-009</t>
        </is>
      </c>
    </row>
    <row r="18" ht="150" customHeight="1">
      <c r="A18" s="12" t="inlineStr">
        <is>
          <t>MS-CFG-002</t>
        </is>
      </c>
      <c r="B18" s="25" t="inlineStr">
        <is>
          <t>Storefront</t>
        </is>
      </c>
      <c r="C18" s="25" t="inlineStr">
        <is>
          <t>3. Product configuration</t>
        </is>
      </c>
      <c r="D18" s="25" t="inlineStr">
        <is>
          <t>Product config</t>
        </is>
      </c>
      <c r="E18" s="25" t="inlineStr">
        <is>
          <t>The die-cut roll sticker page lets a shopper pick a size and quantity, shows a price, and moves on to the next step.</t>
        </is>
      </c>
      <c r="F18" s="13" t="inlineStr">
        <is>
          <t>Critical</t>
        </is>
      </c>
      <c r="G18" s="25" t="inlineStr">
        <is>
          <t>Functional</t>
        </is>
      </c>
      <c r="H18" s="25" t="inlineStr">
        <is>
          <t>Anonymous (guest) session; storefront reachable at the configured BASE_URL (E2E_ENVIRONMENT / .env). No login needed.</t>
        </is>
      </c>
      <c r="I18" s="25" t="inlineStr">
        <is>
          <t>Product: 자유형 롤 스티커 (/kr/roll-stickers/die-cut-roll); size: 중형 75x75; quantity: 300</t>
        </is>
      </c>
      <c r="J18" s="25" t="inlineStr">
        <is>
          <t xml:space="preserve">1. Open /kr/roll-stickers/die-cut-roll.
2. Check the H1 reads 자유형 롤 스티커 and the options panel is shown.
3. Click the size button 중형 75x75.
4. Click the quantity tier that starts with 300 and shows a won price.
5. Check a price is shown and 다음 단계 is enabled.
6. Click 다음 단계.</t>
        </is>
      </c>
      <c r="K18" s="25" t="inlineStr">
        <is>
          <t>H1 is 자유형 롤 스티커 and the options panel is visible; a won amount (e.g. "12,300원") is visible in the options panel; 다음 단계 is enabled; Clicking 다음 단계 opens a dialog, or text matching 업로드 / 디자인 / 장바구니 / Upload / Cart becomes visible.</t>
        </is>
      </c>
      <c r="L18" s="13" t="inlineStr">
        <is>
          <t>Automated</t>
        </is>
      </c>
      <c r="M18" s="25" t="inlineStr">
        <is>
          <t>Production-safe</t>
        </is>
      </c>
      <c r="N18" s="25" t="inlineStr">
        <is>
          <t>-</t>
        </is>
      </c>
      <c r="O18" s="25" t="inlineStr">
        <is>
          <t>tests/e2e/storefront/configuration/product-config.spec.ts</t>
        </is>
      </c>
      <c r="P18" s="25" t="inlineStr">
        <is>
          <t>MS-CFG-002 die-cut roll sticker supports size and quantity selection</t>
        </is>
      </c>
      <c r="Q18" s="25" t="inlineStr">
        <is>
          <t>@regression @production @purchasing</t>
        </is>
      </c>
      <c r="R18" s="13" t="n">
        <v>1</v>
      </c>
      <c r="S18" s="25" t="inlineStr">
        <is>
          <t>test-case.md mentions a per-unit price. The code only checks that some won amount is visible. The progression check is loose, as in MS-CFG-001.</t>
        </is>
      </c>
      <c r="T18" s="14" t="inlineStr">
        <is>
          <t>Not Run</t>
        </is>
      </c>
      <c r="U18" s="15" t="n"/>
      <c r="V18" s="15" t="n"/>
      <c r="W18" s="15" t="n"/>
      <c r="X18" s="15" t="n"/>
      <c r="Y18" s="25" t="inlineStr">
        <is>
          <t>MS-V2-010</t>
        </is>
      </c>
    </row>
    <row r="19" ht="150" customHeight="1">
      <c r="A19" s="12" t="inlineStr">
        <is>
          <t>MS-CFG-003</t>
        </is>
      </c>
      <c r="B19" s="25" t="inlineStr">
        <is>
          <t>Storefront</t>
        </is>
      </c>
      <c r="C19" s="25" t="inlineStr">
        <is>
          <t>3. Product configuration</t>
        </is>
      </c>
      <c r="D19" s="25" t="inlineStr">
        <is>
          <t>Product config</t>
        </is>
      </c>
      <c r="E19" s="25" t="inlineStr">
        <is>
          <t>The die-cut sheet sticker page lets a shopper pick material, sheet size and quantity, shows the template/guide links and a price, and moves on to the next step.</t>
        </is>
      </c>
      <c r="F19" s="13" t="inlineStr">
        <is>
          <t>Critical</t>
        </is>
      </c>
      <c r="G19" s="25" t="inlineStr">
        <is>
          <t>Functional</t>
        </is>
      </c>
      <c r="H19" s="25" t="inlineStr">
        <is>
          <t>Anonymous (guest) session; storefront reachable at the configured BASE_URL (E2E_ENVIRONMENT / .env). No login needed.</t>
        </is>
      </c>
      <c r="I19" s="25" t="inlineStr">
        <is>
          <t>Product: 자유형 판스티커 (/kr/sheet-stickers/die-cut-sheet); material: 투명; sheet size: A5 (button whose name starts with "A5"); quantity: 50</t>
        </is>
      </c>
      <c r="J19" s="25" t="inlineStr">
        <is>
          <t xml:space="preserve">1. Open /kr/sheet-stickers/die-cut-sheet.
2. Check the H1 reads 자유형 판스티커.
3. Click material 투명.
4. Click the sheet size button starting with A5.
5. Click the quantity tier that starts with 50 and shows a won price.
6. Check the page shows 시트 스티커 템플릿 다운로드 and 배치 가이드 보기.
7. Check a price is shown and 다음 단계 is enabled.
8. Click 다음 단계.</t>
        </is>
      </c>
      <c r="K19" s="25" t="inlineStr">
        <is>
          <t>H1 is 자유형 판스티커; page text contains "시트 스티커 템플릿 다운로드" and "배치 가이드 보기"; a won amount (e.g. "12,300원") is visible in the options panel; 다음 단계 is enabled; Clicking 다음 단계 opens a dialog, or text matching 업로드 / 디자인 / 장바구니 / Upload / Cart becomes visible.</t>
        </is>
      </c>
      <c r="L19" s="13" t="inlineStr">
        <is>
          <t>Automated</t>
        </is>
      </c>
      <c r="M19" s="25" t="inlineStr">
        <is>
          <t>Production-safe</t>
        </is>
      </c>
      <c r="N19" s="25" t="inlineStr">
        <is>
          <t>-</t>
        </is>
      </c>
      <c r="O19" s="25" t="inlineStr">
        <is>
          <t>tests/e2e/storefront/configuration/product-config.spec.ts</t>
        </is>
      </c>
      <c r="P19" s="25" t="inlineStr">
        <is>
          <t>MS-CFG-003 die-cut sheet sticker supports material, sheet size, and quantity selection</t>
        </is>
      </c>
      <c r="Q19" s="25" t="inlineStr">
        <is>
          <t>@regression @production @purchasing</t>
        </is>
      </c>
      <c r="R19" s="13" t="n">
        <v>1</v>
      </c>
      <c r="S19" s="25" t="inlineStr">
        <is>
          <t>test-case.md names the sheet size as "A5 148x210". The code matches any button whose name starts with "A5".</t>
        </is>
      </c>
      <c r="T19" s="14" t="inlineStr">
        <is>
          <t>Not Run</t>
        </is>
      </c>
      <c r="U19" s="15" t="n"/>
      <c r="V19" s="15" t="n"/>
      <c r="W19" s="15" t="n"/>
      <c r="X19" s="15" t="n"/>
      <c r="Y19" s="25" t="inlineStr">
        <is>
          <t>MS-V2-011</t>
        </is>
      </c>
    </row>
    <row r="20" ht="150" customHeight="1">
      <c r="A20" s="12" t="inlineStr">
        <is>
          <t>MS-CFG-004</t>
        </is>
      </c>
      <c r="B20" s="25" t="inlineStr">
        <is>
          <t>Storefront</t>
        </is>
      </c>
      <c r="C20" s="25" t="inlineStr">
        <is>
          <t>3. Product configuration</t>
        </is>
      </c>
      <c r="D20" s="25" t="inlineStr">
        <is>
          <t>Product config</t>
        </is>
      </c>
      <c r="E20" s="25" t="inlineStr">
        <is>
          <t>The 원하는 크기 입력 and 원하는 수량 입력 controls can each be opened on the die-cut sticker page.</t>
        </is>
      </c>
      <c r="F20" s="13" t="inlineStr">
        <is>
          <t>High</t>
        </is>
      </c>
      <c r="G20" s="25" t="inlineStr">
        <is>
          <t>UI</t>
        </is>
      </c>
      <c r="H20" s="25" t="inlineStr">
        <is>
          <t>Anonymous (guest) session; storefront reachable at the configured BASE_URL (E2E_ENVIRONMENT / .env). No login needed. Wait until the page has applied its default size and quantity, which is when 다음 단계 becomes enabled.</t>
        </is>
      </c>
      <c r="I20" s="25" t="inlineStr">
        <is>
          <t>Product: 자유형 조각스티커 (/kr/stickers/die-cut-sticker). No values are typed.</t>
        </is>
      </c>
      <c r="J20" s="25" t="inlineStr">
        <is>
          <t xml:space="preserve">1. Open /kr/stickers/die-cut-sticker and check the H1 reads 자유형 조각스티커.
2. Wait until 다음 단계 is enabled.
3. Click 원하는 크기 입력.
4. Check a dialog or a numeric (spinbutton) input appears, then close it with 취소 or Escape.
5. Click 원하는 수량 입력.
6. Check a dialog or a numeric (spinbutton) input appears, then close it with 취소 or Escape.</t>
        </is>
      </c>
      <c r="K20" s="25" t="inlineStr">
        <is>
          <t>다음 단계 becomes enabled after the defaults load; the 원하는 크기 입력 button is visible and clicking it shows a dialog or a spinbutton input; the 원하는 수량 입력 button is visible and clicking it shows a dialog or a spinbutton input.</t>
        </is>
      </c>
      <c r="L20" s="13" t="inlineStr">
        <is>
          <t>Partial</t>
        </is>
      </c>
      <c r="M20" s="25" t="inlineStr">
        <is>
          <t>Production-safe</t>
        </is>
      </c>
      <c r="N20" s="25" t="inlineStr">
        <is>
          <t>-</t>
        </is>
      </c>
      <c r="O20" s="25" t="inlineStr">
        <is>
          <t>tests/e2e/storefront/configuration/product-config.spec.ts</t>
        </is>
      </c>
      <c r="P20" s="25" t="inlineStr">
        <is>
          <t>MS-CFG-004 custom size and quantity controls are reachable</t>
        </is>
      </c>
      <c r="Q20" s="25" t="inlineStr">
        <is>
          <t>@regression @production @purchasing</t>
        </is>
      </c>
      <c r="R20" s="13" t="n">
        <v>1</v>
      </c>
      <c r="S20" s="25" t="inlineStr">
        <is>
          <t xml:space="preserve">MANUAL PART: Automation only opens the custom size / quantity inputs and asserts no premature error. Blank, below-minimum and above-maximum entries are NOT exercised: check them by hand.
Large gap from test-case.md. test-case.md describes validation of blank, non-numeric, too-small, too-large and zero values, tagged `@validation @production`. The code only checks that both controls open: it types no values and checks no validation messages. The code tags are @regression @production @purchasing. The suite allows incomplete-pricing console warnings because opening the inputs without values makes the storefront warn that the configuration is not yet priceable.</t>
        </is>
      </c>
      <c r="T20" s="14" t="inlineStr">
        <is>
          <t>Not Run</t>
        </is>
      </c>
      <c r="U20" s="15" t="n"/>
      <c r="V20" s="15" t="n"/>
      <c r="W20" s="15" t="n"/>
      <c r="X20" s="15" t="n"/>
      <c r="Y20" s="25" t="inlineStr">
        <is>
          <t>MS-V2-012</t>
        </is>
      </c>
    </row>
    <row r="21" ht="150" customHeight="1">
      <c r="A21" s="12" t="inlineStr">
        <is>
          <t>MS-CFG-005</t>
        </is>
      </c>
      <c r="B21" s="25" t="inlineStr">
        <is>
          <t>Storefront</t>
        </is>
      </c>
      <c r="C21" s="25" t="inlineStr">
        <is>
          <t>3. Product configuration</t>
        </is>
      </c>
      <c r="D21" s="25" t="inlineStr">
        <is>
          <t>Product config</t>
        </is>
      </c>
      <c r="E21" s="25" t="inlineStr">
        <is>
          <t>The product page shows the free-shipping, same-day, delivery-estimate and quality promise copy.</t>
        </is>
      </c>
      <c r="F21" s="13" t="inlineStr">
        <is>
          <t>High</t>
        </is>
      </c>
      <c r="G21" s="25" t="inlineStr">
        <is>
          <t>UI</t>
        </is>
      </c>
      <c r="H21" s="25" t="inlineStr">
        <is>
          <t>Anonymous (guest) session; storefront reachable at the configured BASE_URL (E2E_ENVIRONMENT / .env). No login needed.</t>
        </is>
      </c>
      <c r="I21" s="25" t="inlineStr">
        <is>
          <t>Product: 자유형 조각스티커 (/kr/stickers/die-cut-sticker)</t>
        </is>
      </c>
      <c r="J21" s="25" t="inlineStr">
        <is>
          <t xml:space="preserve">1. Open /kr/stickers/die-cut-sticker and check the H1 reads 자유형 조각스티커.
2. Look for the free-shipping and same-day delivery promises.
3. Look for the delivery estimate or courier name.
4. Look for the production and quality promises.</t>
        </is>
      </c>
      <c r="K21" s="25" t="inlineStr">
        <is>
          <t>Page text contains: "5만원 이상 무료배송"; "12시 이전 시안 확정 시 당일배송"; "도착 예정일" or "CJ 대한통운"; "오늘제작, 내일발송"; "빠른 시안 피드백"; "뛰어난 내구성과 내수성".</t>
        </is>
      </c>
      <c r="L21" s="13" t="inlineStr">
        <is>
          <t>Automated</t>
        </is>
      </c>
      <c r="M21" s="25" t="inlineStr">
        <is>
          <t>Production-safe</t>
        </is>
      </c>
      <c r="N21" s="25" t="inlineStr">
        <is>
          <t>-</t>
        </is>
      </c>
      <c r="O21" s="25" t="inlineStr">
        <is>
          <t>tests/e2e/storefront/configuration/product-config.spec.ts</t>
        </is>
      </c>
      <c r="P21" s="25" t="inlineStr">
        <is>
          <t>MS-CFG-005 product trust and delivery promises are visible</t>
        </is>
      </c>
      <c r="Q21" s="25" t="inlineStr">
        <is>
          <t>@regression @production @purchasing</t>
        </is>
      </c>
      <c r="R21" s="13" t="n">
        <v>1</v>
      </c>
      <c r="S21" s="25" t="inlineStr">
        <is>
          <t>test-case.md says "3시 이전 시안 확정 시 당일배송". The code asserts "12시 이전 시안 확정 시 당일배송". test-case.md tags are `@regression @production`, while the code also tags @purchasing. The checks are page-text containment, not visibility.</t>
        </is>
      </c>
      <c r="T21" s="14" t="inlineStr">
        <is>
          <t>Not Run</t>
        </is>
      </c>
      <c r="U21" s="15" t="n"/>
      <c r="V21" s="15" t="n"/>
      <c r="W21" s="15" t="n"/>
      <c r="X21" s="15" t="n"/>
      <c r="Y21" s="25" t="inlineStr">
        <is>
          <t>MS-V2-013</t>
        </is>
      </c>
    </row>
    <row r="22" ht="150" customHeight="1">
      <c r="A22" s="12" t="inlineStr">
        <is>
          <t>MS-CFG-006</t>
        </is>
      </c>
      <c r="B22" s="25" t="inlineStr">
        <is>
          <t>Storefront</t>
        </is>
      </c>
      <c r="C22" s="25" t="inlineStr">
        <is>
          <t>3. Product configuration</t>
        </is>
      </c>
      <c r="D22" s="25" t="inlineStr">
        <is>
          <t>Product config</t>
        </is>
      </c>
      <c r="E22" s="25" t="inlineStr">
        <is>
          <t>On the product page, the review carousel can be moved forward and back and still shows the photo-review count.</t>
        </is>
      </c>
      <c r="F22" s="13" t="inlineStr">
        <is>
          <t>Medium</t>
        </is>
      </c>
      <c r="G22" s="25" t="inlineStr">
        <is>
          <t>UI</t>
        </is>
      </c>
      <c r="H22" s="25" t="inlineStr">
        <is>
          <t>Anonymous (guest) session; storefront reachable at the configured BASE_URL (E2E_ENVIRONMENT / .env). No login needed.</t>
        </is>
      </c>
      <c r="I22" s="25" t="inlineStr">
        <is>
          <t>Product: 자유형 조각스티커 (/kr/stickers/die-cut-sticker)</t>
        </is>
      </c>
      <c r="J22" s="25" t="inlineStr">
        <is>
          <t xml:space="preserve">1. Open /kr/stickers/die-cut-sticker and check the H1 reads 자유형 조각스티커.
2. Check the page shows a photo-review count (e.g. "사진 후기 225개").
3. Click 다음 리뷰.
4. Check 이전 리뷰 is visible and click it.
5. Check the photo-review count text is still shown.</t>
        </is>
      </c>
      <c r="K22" s="25" t="inlineStr">
        <is>
          <t>Page text matches /사진 후기\s*\d+개|\d+개 사진 후기/ before and after navigating; the 다음 리뷰 button is visible and clickable; after that click the 이전 리뷰 button is visible and clickable.</t>
        </is>
      </c>
      <c r="L22" s="13" t="inlineStr">
        <is>
          <t>Automated</t>
        </is>
      </c>
      <c r="M22" s="25" t="inlineStr">
        <is>
          <t>Production-safe</t>
        </is>
      </c>
      <c r="N22" s="25" t="inlineStr">
        <is>
          <t>-</t>
        </is>
      </c>
      <c r="O22" s="25" t="inlineStr">
        <is>
          <t>tests/e2e/storefront/configuration/product-config.spec.ts</t>
        </is>
      </c>
      <c r="P22" s="25" t="inlineStr">
        <is>
          <t>MS-CFG-006 product review carousel is usable</t>
        </is>
      </c>
      <c r="Q22" s="25" t="inlineStr">
        <is>
          <t>@regression @production @purchasing</t>
        </is>
      </c>
      <c r="R22" s="13" t="n">
        <v>1</v>
      </c>
      <c r="S22" s="25" t="inlineStr">
        <is>
          <t>test-case.md expects a different review to appear after 다음 리뷰 and the original one to come back after 이전 리뷰. The code does not compare review content; it only checks that the buttons work and the review-count text remains. test-case.md tags are `@regression @production`, while the code also tags @purchasing.</t>
        </is>
      </c>
      <c r="T22" s="14" t="inlineStr">
        <is>
          <t>Not Run</t>
        </is>
      </c>
      <c r="U22" s="15" t="n"/>
      <c r="V22" s="15" t="n"/>
      <c r="W22" s="15" t="n"/>
      <c r="X22" s="15" t="n"/>
      <c r="Y22" s="25" t="inlineStr">
        <is>
          <t>MS-V2-014</t>
        </is>
      </c>
    </row>
    <row r="23" ht="150" customHeight="1">
      <c r="A23" s="12" t="inlineStr">
        <is>
          <t>MS-CFG-007</t>
        </is>
      </c>
      <c r="B23" s="25" t="inlineStr">
        <is>
          <t>Storefront</t>
        </is>
      </c>
      <c r="C23" s="25" t="inlineStr">
        <is>
          <t>3. Product configuration</t>
        </is>
      </c>
      <c r="D23" s="25" t="inlineStr">
        <is>
          <t>Sheet sticker configurator</t>
        </is>
      </c>
      <c r="E23" s="25" t="inlineStr">
        <is>
          <t>Each shaped sheet sticker (circle, oval, square, rectangle, rounded) can be configured with material, size and quantity and added to the cart without uploading a file.</t>
        </is>
      </c>
      <c r="F23" s="13" t="inlineStr">
        <is>
          <t>Critical</t>
        </is>
      </c>
      <c r="G23" s="25" t="inlineStr">
        <is>
          <t>E2E</t>
        </is>
      </c>
      <c r="H23" s="25" t="inlineStr">
        <is>
          <t>Anonymous (guest) session; storefront reachable at the configured BASE_URL (E2E_ENVIRONMENT / .env). No login needed. Adds an item to the guest cart only; no order is placed.</t>
        </is>
      </c>
      <c r="I23" s="25" t="inlineStr">
        <is>
          <t>Parameterized x5: 원형 판스티커 (/kr/sheet-stickers/circle-sheet); 타원형 판스티커 (/kr/sheet-stickers/oval-sheet); 정사각형 판스티커 (/kr/sheet-stickers/square-sheet); 직사각형 판스티커 (/kr/sheet-stickers/rectangle-sheet); 둥근 사각 판스티커 (/kr/sheet-stickers/rounded-sheet). Material: 홀로그램; size preset: 중형; quantity: 20 (sheets). No design file.</t>
        </is>
      </c>
      <c r="J23" s="25" t="inlineStr">
        <is>
          <t xml:space="preserve">1. Open the product page (e.g. /kr/sheet-stickers/circle-sheet) and check the H1 (e.g. 원형 판스티커).
2. Click material 홀로그램.
3. Click the size preset 중형.
4. Click the quantity tier starting with 20 that shows a won price.
5. Check a price is shown and 다음 단계 is enabled, then click 다음 단계.
6. In the 어떻게 주문하시겠어요? chooser, click 이 단계를 건너뛰고 나중에 파일 보내기 without uploading a file.
7. Check the cart preview drawer.</t>
        </is>
      </c>
      <c r="K23" s="25" t="inlineStr">
        <is>
          <t>a won amount (e.g. "12,300원") is visible in the options panel; 다음 단계 is enabled; clicking 다음 단계 opens the 어떻게 주문하시겠어요? chooser: its dropzone lists "ai · psd · pdf · eps · tif · png · jpg", the file-select button is visible, and it offers 파일로 주문하기, 스튜디오 이동 (badge "5% 추가 할인") and 이 단계를 건너뛰고 나중에 파일 보내기; after 이 단계를 건너뛰고 나중에 파일 보내기 the 장바구니 미리보기 (cart preview) drawer opens and contains a line item named "&lt;cart name, e.g. 원형 판스티커 / 둥근 사각 판스티커&gt;" showing "수량: 20".</t>
        </is>
      </c>
      <c r="L23" s="13" t="inlineStr">
        <is>
          <t>Automated</t>
        </is>
      </c>
      <c r="M23" s="25" t="inlineStr">
        <is>
          <t>Production-safe</t>
        </is>
      </c>
      <c r="N23" s="25" t="inlineStr">
        <is>
          <t>-</t>
        </is>
      </c>
      <c r="O23" s="25" t="inlineStr">
        <is>
          <t>tests/e2e/storefront/configuration/sheet-sticker-configurator.spec.ts</t>
        </is>
      </c>
      <c r="P23" s="25" t="inlineStr">
        <is>
          <t>MS-CFG-007 원형 판스티커 supports material, size, and quantity selection through to cart</t>
        </is>
      </c>
      <c r="Q23" s="25" t="inlineStr">
        <is>
          <t>@regression @production @purchasing</t>
        </is>
      </c>
      <c r="R23" s="13" t="n">
        <v>5</v>
      </c>
      <c r="S23" s="25" t="inlineStr">
        <is>
          <t>The rounded-sheet H1 read 둥근 사각형 시트 스티커 until early October 2026; it now matches its card and cart line (둥근 사각 판스티커). test-case.md points to the old path tests/e2e/purchasing/. The chooser's heading, dropzone format list, file-select, 파일로 주문하기, studio (5% 추가 할인) and skip buttons are asserted.</t>
        </is>
      </c>
      <c r="T23" s="14" t="inlineStr">
        <is>
          <t>Not Run</t>
        </is>
      </c>
      <c r="U23" s="15" t="n"/>
      <c r="V23" s="15" t="n"/>
      <c r="W23" s="15" t="n"/>
      <c r="X23" s="15" t="n"/>
      <c r="Y23" s="25" t="inlineStr">
        <is>
          <t>MS-V2-050</t>
        </is>
      </c>
    </row>
    <row r="24" ht="150" customHeight="1">
      <c r="A24" s="12" t="inlineStr">
        <is>
          <t>MS-CFG-008</t>
        </is>
      </c>
      <c r="B24" s="25" t="inlineStr">
        <is>
          <t>Storefront</t>
        </is>
      </c>
      <c r="C24" s="25" t="inlineStr">
        <is>
          <t>3. Product configuration</t>
        </is>
      </c>
      <c r="D24" s="25" t="inlineStr">
        <is>
          <t>Sheet sticker configurator</t>
        </is>
      </c>
      <c r="E24" s="25" t="inlineStr">
        <is>
          <t>Entering a custom 20x20 mm individual size on the circle sheet sticker produces a price and keeps 다음 단계 enabled.</t>
        </is>
      </c>
      <c r="F24" s="13" t="inlineStr">
        <is>
          <t>High</t>
        </is>
      </c>
      <c r="G24" s="25" t="inlineStr">
        <is>
          <t>Functional</t>
        </is>
      </c>
      <c r="H24" s="25" t="inlineStr">
        <is>
          <t>Anonymous (guest) session; storefront reachable at the configured BASE_URL (E2E_ENVIRONMENT / .env). No login needed.</t>
        </is>
      </c>
      <c r="I24" s="25" t="inlineStr">
        <is>
          <t>Product: 원형 판스티커 (/kr/sheet-stickers/circle-sheet); custom size 20 x 20 mm</t>
        </is>
      </c>
      <c r="J24" s="25" t="inlineStr">
        <is>
          <t xml:space="preserve">1. Open /kr/sheet-stickers/circle-sheet and check the H1 reads 원형 판스티커.
2. Wait until the quantity tiers show non-zero prices.
3. Click 원하는 크기 입력.
4. Type 20 in the width (가로 / 너비) field and 20 in the height (세로 / 높이) field, then leave the field.
5. Check the price and the 다음 단계 button.</t>
        </is>
      </c>
      <c r="K24" s="25" t="inlineStr">
        <is>
          <t>The custom width/height inputs appear; a won amount (e.g. "12,300원") is visible in the options panel; 다음 단계 is enabled.</t>
        </is>
      </c>
      <c r="L24" s="13" t="inlineStr">
        <is>
          <t>Automated</t>
        </is>
      </c>
      <c r="M24" s="25" t="inlineStr">
        <is>
          <t>Production-safe</t>
        </is>
      </c>
      <c r="N24" s="25" t="inlineStr">
        <is>
          <t>-</t>
        </is>
      </c>
      <c r="O24" s="25" t="inlineStr">
        <is>
          <t>tests/e2e/storefront/configuration/sheet-sticker-configurator.spec.ts</t>
        </is>
      </c>
      <c r="P24" s="25" t="inlineStr">
        <is>
          <t>MS-CFG-008 circle sheet sticker: custom individual size recalculates the whole quantity price ladder</t>
        </is>
      </c>
      <c r="Q24" s="25" t="inlineStr">
        <is>
          <t>@regression @production @purchasing</t>
        </is>
      </c>
      <c r="R24" s="13" t="n">
        <v>1</v>
      </c>
      <c r="S24" s="25" t="inlineStr">
        <is>
          <t>The title and test-case.md say the whole price ladder is recalculated. The code only checks that a won amount is visible and 다음 단계 is enabled; it does not compare prices before and after. Field labels differ by environment: dev uses 가로/세로 placeholders, while production uses 너비/높이 captions with an "예: 30" placeholder. test-case.md says the helper retries the click once; it now retries up to 5 times. The fractional per-unit price (e.g. 8.582원) is accepted behavior, not a defect (MS-CFG-016 withdrawn).</t>
        </is>
      </c>
      <c r="T24" s="14" t="inlineStr">
        <is>
          <t>Not Run</t>
        </is>
      </c>
      <c r="U24" s="15" t="n"/>
      <c r="V24" s="15" t="n"/>
      <c r="W24" s="15" t="n"/>
      <c r="X24" s="15" t="n"/>
      <c r="Y24" s="25" t="inlineStr">
        <is>
          <t>MS-V2-051</t>
        </is>
      </c>
    </row>
    <row r="25" ht="150" customHeight="1">
      <c r="A25" s="12" t="inlineStr">
        <is>
          <t>MS-CFG-009</t>
        </is>
      </c>
      <c r="B25" s="25" t="inlineStr">
        <is>
          <t>Storefront</t>
        </is>
      </c>
      <c r="C25" s="25" t="inlineStr">
        <is>
          <t>3. Product configuration</t>
        </is>
      </c>
      <c r="D25" s="25" t="inlineStr">
        <is>
          <t>Sheet sticker configurator</t>
        </is>
      </c>
      <c r="E25" s="25" t="inlineStr">
        <is>
          <t>On the circle sheet sticker, the 1,000-sheet tier shows a bigger -NN% discount badge than the 10-sheet tier.</t>
        </is>
      </c>
      <c r="F25" s="13" t="inlineStr">
        <is>
          <t>Medium</t>
        </is>
      </c>
      <c r="G25" s="25" t="inlineStr">
        <is>
          <t>Functional</t>
        </is>
      </c>
      <c r="H25" s="25" t="inlineStr">
        <is>
          <t>Anonymous (guest) session; storefront reachable at the configured BASE_URL (E2E_ENVIRONMENT / .env). No login needed.</t>
        </is>
      </c>
      <c r="I25" s="25" t="inlineStr">
        <is>
          <t>Product: 원형 판스티커 (/kr/sheet-stickers/circle-sheet); quantities 5 and 1000 (sheets)</t>
        </is>
      </c>
      <c r="J25" s="25" t="inlineStr">
        <is>
          <t xml:space="preserve">1. Open /kr/sheet-stickers/circle-sheet and check the H1 reads 원형 판스티커.
2. Click the 10-sheet quantity tier and read the discount badge (e.g. "-4%").
3. Click the 1,000-sheet tier and read the badge again.</t>
        </is>
      </c>
      <c r="K25" s="25" t="inlineStr">
        <is>
          <t>With 10 selected a "-NN%" badge greater than 0 is shown; with 1,000 selected the badge is greater than the 10-sheet one.</t>
        </is>
      </c>
      <c r="L25" s="13" t="inlineStr">
        <is>
          <t>Automated</t>
        </is>
      </c>
      <c r="M25" s="25" t="inlineStr">
        <is>
          <t>Production-safe</t>
        </is>
      </c>
      <c r="N25" s="25" t="inlineStr">
        <is>
          <t>-</t>
        </is>
      </c>
      <c r="O25" s="25" t="inlineStr">
        <is>
          <t>tests/e2e/storefront/configuration/sheet-sticker-configurator.spec.ts</t>
        </is>
      </c>
      <c r="P25" s="25" t="inlineStr">
        <is>
          <t>MS-CFG-009 circle sheet sticker: bulk quantity tiers surface a bigger discount than smaller tiers</t>
        </is>
      </c>
      <c r="Q25" s="25" t="inlineStr">
        <is>
          <t>@regression @production @purchasing</t>
        </is>
      </c>
      <c r="R25" s="13" t="n">
        <v>1</v>
      </c>
      <c r="S25" s="25" t="inlineStr">
        <is>
          <t>Changed by 2026-10-14: sheet stickers now show a discount on every tier (10시트 reads -4% against a 6,900원 list price), so the old check that small tiers show no badge no longer holds. Badge values vary with the price table, so only their order is asserted. The die-cut and roll equivalents (MS-CFG-021, MS-CFG-022) still show no badge at 10개 and are unchanged.</t>
        </is>
      </c>
      <c r="T25" s="14" t="inlineStr">
        <is>
          <t>Not Run</t>
        </is>
      </c>
      <c r="U25" s="15" t="n"/>
      <c r="V25" s="15" t="n"/>
      <c r="W25" s="15" t="n"/>
      <c r="X25" s="15" t="n"/>
      <c r="Y25" s="25" t="inlineStr">
        <is>
          <t>MS-V2-052</t>
        </is>
      </c>
    </row>
    <row r="26" ht="150" customHeight="1">
      <c r="A26" s="12" t="inlineStr">
        <is>
          <t>MS-CFG-010</t>
        </is>
      </c>
      <c r="B26" s="25" t="inlineStr">
        <is>
          <t>Storefront</t>
        </is>
      </c>
      <c r="C26" s="25" t="inlineStr">
        <is>
          <t>3. Product configuration</t>
        </is>
      </c>
      <c r="D26" s="25" t="inlineStr">
        <is>
          <t>Sheet sticker configurator</t>
        </is>
      </c>
      <c r="E26" s="25" t="inlineStr">
        <is>
          <t>On the circle sheet sticker, the design upload dialog accepts a file and an order note, and the item reaches the cart with an image link.</t>
        </is>
      </c>
      <c r="F26" s="13" t="inlineStr">
        <is>
          <t>High</t>
        </is>
      </c>
      <c r="G26" s="25" t="inlineStr">
        <is>
          <t>E2E</t>
        </is>
      </c>
      <c r="H26" s="25" t="inlineStr">
        <is>
          <t>Anonymous (guest) session; storefront reachable at the configured BASE_URL (E2E_ENVIRONMENT / .env). No login needed. Adds an item to the guest cart only; no order is placed. Local file tests/fixtures/files/sample-design.png is available.</t>
        </is>
      </c>
      <c r="I26" s="25" t="inlineStr">
        <is>
          <t>Product: 원형 판스티커 (/kr/sheet-stickers/circle-sheet); quantity: 10 (sheets); file: sample-design.png (tiny PNG fixture); note: "Please make sure the colors and size are exactly perfect."</t>
        </is>
      </c>
      <c r="J26" s="25" t="inlineStr">
        <is>
          <t xml:space="preserve">1. Open /kr/sheet-stickers/circle-sheet and check the H1 reads 원형 판스티커.
2. Click the quantity tier starting with 10, then click 다음 단계.
3. In the 어떻게 주문하시겠어요? chooser's 파일 업로드하기 panel, choose sample-design.png.
4. Type the order note in the special-instructions box (기타 요청 사항).
5. Click 파일로 주문하기.
6. In the cart preview drawer, click 장바구니 보기.
7. Check the cart row for 원형 판스티커.</t>
        </is>
      </c>
      <c r="K26" s="25" t="inlineStr">
        <is>
          <t>the 어떻게 주문하시겠어요? chooser appears with the three ways to order (see MS-CFG-007); after choosing the file, the dropzone shows "sample-design.png"; after 파일로 주문하기 the 장바구니 미리보기 (cart preview) drawer opens and contains a line item named "원형 판스티커" showing "수량: 10"; 장바구니 보기 leads to /kr/cart, where the 원형 판스티커 row shows either "이미지 추가" or "이미지 변경".</t>
        </is>
      </c>
      <c r="L26" s="13" t="inlineStr">
        <is>
          <t>Automated</t>
        </is>
      </c>
      <c r="M26" s="25" t="inlineStr">
        <is>
          <t>Production-safe</t>
        </is>
      </c>
      <c r="N26" s="25" t="inlineStr">
        <is>
          <t>-</t>
        </is>
      </c>
      <c r="O26" s="25" t="inlineStr">
        <is>
          <t>tests/e2e/storefront/configuration/sheet-sticker-configurator.spec.ts</t>
        </is>
      </c>
      <c r="P26" s="25" t="inlineStr">
        <is>
          <t>MS-CFG-010 circle sheet sticker: design upload modal accepts an order note and a design file before adding to cart</t>
        </is>
      </c>
      <c r="Q26" s="25" t="inlineStr">
        <is>
          <t>@regression @production @purchasing</t>
        </is>
      </c>
      <c r="R26" s="13" t="n">
        <v>1</v>
      </c>
      <c r="S26" s="25" t="inlineStr">
        <is>
          <t>test-case.md mentions accepted-file affordances such as 이미지 교체 and 업로드한 디자인 삭제; the code only checks that the filename appears in the dropzone. Open question from test-case.md: with the tiny fixture PNG, no upload request was seen and the cart still showed 이미지 추가, so the test accepts either link. A manual tester should try again with a realistic image to confirm the upload persists (the row should then show 이미지 변경).</t>
        </is>
      </c>
      <c r="T26" s="14" t="inlineStr">
        <is>
          <t>Not Run</t>
        </is>
      </c>
      <c r="U26" s="15" t="n"/>
      <c r="V26" s="15" t="n"/>
      <c r="W26" s="15" t="n"/>
      <c r="X26" s="15" t="n"/>
      <c r="Y26" s="25" t="inlineStr">
        <is>
          <t>MS-V2-053</t>
        </is>
      </c>
    </row>
    <row r="27" ht="150" customHeight="1">
      <c r="A27" s="12" t="inlineStr">
        <is>
          <t>MS-CFG-011</t>
        </is>
      </c>
      <c r="B27" s="25" t="inlineStr">
        <is>
          <t>Storefront</t>
        </is>
      </c>
      <c r="C27" s="25" t="inlineStr">
        <is>
          <t>3. Product configuration</t>
        </is>
      </c>
      <c r="D27" s="25" t="inlineStr">
        <is>
          <t>Sheet sticker configurator</t>
        </is>
      </c>
      <c r="E27" s="25" t="inlineStr">
        <is>
          <t>Changing a circle sheet sticker's material from 무광 화이트 to 홀로그램 in the cart preview drawer updates the drawer total.</t>
        </is>
      </c>
      <c r="F27" s="13" t="inlineStr">
        <is>
          <t>High</t>
        </is>
      </c>
      <c r="G27" s="25" t="inlineStr">
        <is>
          <t>Functional</t>
        </is>
      </c>
      <c r="H27" s="25" t="inlineStr">
        <is>
          <t>Anonymous (guest) session; storefront reachable at the configured BASE_URL (E2E_ENVIRONMENT / .env). No login needed. Adds an item to the guest cart only; no order is placed.</t>
        </is>
      </c>
      <c r="I27" s="25" t="inlineStr">
        <is>
          <t>Product: 원형 판스티커 (/kr/sheet-stickers/circle-sheet); initial material 무광 화이트; quantity: 10 (sheets); new material 홀로그램</t>
        </is>
      </c>
      <c r="J27" s="25" t="inlineStr">
        <is>
          <t xml:space="preserve">1. Open /kr/sheet-stickers/circle-sheet and check the H1 reads 원형 판스티커.
2. Click material 무광 화이트 and the 10시트 quantity tier.
3. Click 다음 단계; in the 어떻게 주문하시겠어요? chooser click 이 단계를 건너뛰고 나중에 파일 보내기.
4. In the cart preview drawer, note the total and click the first item's edit (상품 수정) control.
5. In the 사이즈 및 수량 수정 dialog, click 홀로그램 and then 업데이트.
6. Check the drawer.</t>
        </is>
      </c>
      <c r="K27" s="25" t="inlineStr">
        <is>
          <t>The cart preview drawer is visible. After 업데이트, the POST to /sys/kr/cart/item/update does not fail (a non-OK response fails the test), the edit dialog closes within 10 s, the drawer total (product-category-cart-total-row) differs from the total before the edit, and the drawer still shows a 원형 판스티커 line item.</t>
        </is>
      </c>
      <c r="L27" s="13" t="inlineStr">
        <is>
          <t>Automated</t>
        </is>
      </c>
      <c r="M27" s="25" t="inlineStr">
        <is>
          <t>Production-safe</t>
        </is>
      </c>
      <c r="N27" s="25" t="inlineStr">
        <is>
          <t>-</t>
        </is>
      </c>
      <c r="O27" s="25" t="inlineStr">
        <is>
          <t>tests/e2e/storefront/configuration/sheet-sticker-configurator.spec.ts</t>
        </is>
      </c>
      <c r="P27" s="25" t="inlineStr">
        <is>
          <t>MS-CFG-011 circle sheet sticker: editing material from the cart preview drawer recalculates the line price</t>
        </is>
      </c>
      <c r="Q27" s="25" t="inlineStr">
        <is>
          <t>@regression @production @purchasing</t>
        </is>
      </c>
      <c r="R27" s="13" t="n">
        <v>1</v>
      </c>
      <c r="S27" s="25" t="inlineStr">
        <is>
          <t>test-case.md says the new total should match the hologram tier price from the product page. The code only checks that the total changed; the value is not compared. The default sheet material 무광 화이트 was labelled PVC 매트 until early October 2026. Uses 10시트, the smallest tier since early October 2026: 5시트 was dropped, and until the selector was fixed on 2026-10-14 asking for 5 silently picked 50시트.</t>
        </is>
      </c>
      <c r="T27" s="14" t="inlineStr">
        <is>
          <t>Not Run</t>
        </is>
      </c>
      <c r="U27" s="15" t="n"/>
      <c r="V27" s="15" t="n"/>
      <c r="W27" s="15" t="n"/>
      <c r="X27" s="15" t="n"/>
      <c r="Y27" s="25" t="inlineStr">
        <is>
          <t>MS-V2-054</t>
        </is>
      </c>
    </row>
    <row r="28" ht="150" customHeight="1">
      <c r="A28" s="12" t="inlineStr">
        <is>
          <t>MS-CFG-012</t>
        </is>
      </c>
      <c r="B28" s="25" t="inlineStr">
        <is>
          <t>Storefront</t>
        </is>
      </c>
      <c r="C28" s="25" t="inlineStr">
        <is>
          <t>3. Product configuration</t>
        </is>
      </c>
      <c r="D28" s="25" t="inlineStr">
        <is>
          <t>Sheet sticker configurator</t>
        </is>
      </c>
      <c r="E28" s="25" t="inlineStr">
        <is>
          <t>장바구니 보기 in the cart preview drawer opens the full cart page with the circle sheet sticker's size, material and quantity intact.</t>
        </is>
      </c>
      <c r="F28" s="13" t="inlineStr">
        <is>
          <t>Medium</t>
        </is>
      </c>
      <c r="G28" s="25" t="inlineStr">
        <is>
          <t>Navigation</t>
        </is>
      </c>
      <c r="H28" s="25" t="inlineStr">
        <is>
          <t>Anonymous (guest) session; storefront reachable at the configured BASE_URL (E2E_ENVIRONMENT / .env). No login needed. Adds an item to the guest cart only; no order is placed. Relies on the page defaults: material 무광 화이트 and size 소형 30x30.</t>
        </is>
      </c>
      <c r="I28" s="25" t="inlineStr">
        <is>
          <t>Product: 원형 판스티커 (/kr/sheet-stickers/circle-sheet); quantity: 10 (sheets); default material and size (무광 화이트, 30x30mm); no file uploaded</t>
        </is>
      </c>
      <c r="J28" s="25" t="inlineStr">
        <is>
          <t xml:space="preserve">1. Open /kr/sheet-stickers/circle-sheet and check the H1 reads 원형 판스티커.
2. Click the 10시트 quantity tier (leave material and size at their defaults).
3. Click 다음 단계; in the 어떻게 주문하시겠어요? chooser click 이 단계를 건너뛰고 나중에 파일 보내기.
4. In the cart preview drawer, click 장바구니 보기.
5. Check the 원형 판스티커 row on the cart page.</t>
        </is>
      </c>
      <c r="K28" s="25" t="inlineStr">
        <is>
          <t>The cart preview drawer is visible; 장바구니 보기 leads to /kr/cart; the 원형 판스티커 row (cart-page-row) contains "30x30mm", "무광 화이트" and "10시트", and shows the link "이미지 추가".</t>
        </is>
      </c>
      <c r="L28" s="13" t="inlineStr">
        <is>
          <t>Automated</t>
        </is>
      </c>
      <c r="M28" s="25" t="inlineStr">
        <is>
          <t>Production-safe</t>
        </is>
      </c>
      <c r="N28" s="25" t="inlineStr">
        <is>
          <t>-</t>
        </is>
      </c>
      <c r="O28" s="25" t="inlineStr">
        <is>
          <t>tests/e2e/storefront/configuration/sheet-sticker-configurator.spec.ts</t>
        </is>
      </c>
      <c r="P28" s="25" t="inlineStr">
        <is>
          <t>MS-CFG-012 circle sheet sticker: cart preview drawer "장바구니 보기" hands off to the full cart page with the item intact</t>
        </is>
      </c>
      <c r="Q28" s="25" t="inlineStr">
        <is>
          <t>@regression @production @purchasing</t>
        </is>
      </c>
      <c r="R28" s="13" t="n">
        <v>1</v>
      </c>
      <c r="S28" s="25" t="inlineStr">
        <is>
          <t>The code never selects 무광 화이트 or a size. It depends on the circle-sheet defaults being 무광 화이트 and 30x30 (소형), so the test fails if the defaults change. test-case.md lists 무광 화이트 as a precondition as if it were chosen. The default sheet material 무광 화이트 was labelled PVC 매트 until early October 2026. Uses 10시트, the smallest tier since early October 2026: 5시트 was dropped, and until the selector was fixed on 2026-10-14 asking for 5 silently picked 50시트.</t>
        </is>
      </c>
      <c r="T28" s="14" t="inlineStr">
        <is>
          <t>Not Run</t>
        </is>
      </c>
      <c r="U28" s="15" t="n"/>
      <c r="V28" s="15" t="n"/>
      <c r="W28" s="15" t="n"/>
      <c r="X28" s="15" t="n"/>
      <c r="Y28" s="25" t="inlineStr">
        <is>
          <t>MS-V2-055</t>
        </is>
      </c>
    </row>
    <row r="29" ht="150" customHeight="1">
      <c r="A29" s="12" t="inlineStr">
        <is>
          <t>MS-CFG-013</t>
        </is>
      </c>
      <c r="B29" s="25" t="inlineStr">
        <is>
          <t>Storefront</t>
        </is>
      </c>
      <c r="C29" s="25" t="inlineStr">
        <is>
          <t>3. Product configuration</t>
        </is>
      </c>
      <c r="D29" s="25" t="inlineStr">
        <is>
          <t>Sheet sticker configurator</t>
        </is>
      </c>
      <c r="E29" s="25" t="inlineStr">
        <is>
          <t>The 사이즈 변경 dialog on the full cart page has no quantity control and updates the price when the material is changed to 홀로그램.</t>
        </is>
      </c>
      <c r="F29" s="13" t="inlineStr">
        <is>
          <t>High</t>
        </is>
      </c>
      <c r="G29" s="25" t="inlineStr">
        <is>
          <t>Functional</t>
        </is>
      </c>
      <c r="H29" s="25" t="inlineStr">
        <is>
          <t>Anonymous (guest) session; storefront reachable at the configured BASE_URL (E2E_ENVIRONMENT / .env). No login needed. Adds an item to the guest cart only; no order is placed.</t>
        </is>
      </c>
      <c r="I29" s="25" t="inlineStr">
        <is>
          <t>Product: 원형 판스티커 (/kr/sheet-stickers/circle-sheet); initial material 무광 화이트; quantity: 10 (sheets); new material 홀로그램</t>
        </is>
      </c>
      <c r="J29" s="25" t="inlineStr">
        <is>
          <t xml:space="preserve">1. Open /kr/sheet-stickers/circle-sheet and check the H1 reads 원형 판스티커.
2. Click material 무광 화이트 and the 10시트 quantity tier.
3. Click 다음 단계; in the 어떻게 주문하시겠어요? chooser click 이 단계를 건너뛰고 나중에 파일 보내기.
4. In the cart preview drawer, click 장바구니 보기 (goes to /kr/cart).
5. Note the order-summary total, then click 사이즈 변경 on the 원형 판스티커 row.
6. In the dialog, check there is no 수량 control, then click 홀로그램 and 업데이트.
7. Check the row and the total.</t>
        </is>
      </c>
      <c r="K29" s="25" t="inlineStr">
        <is>
          <t>The 사이즈 변경 dialog opens and contains no element with the exact text "수량". After 홀로그램 and 업데이트, the dialog closes within 10 s, the cart-page-summary total differs from before, and the 원형 판스티커 row contains "홀로그램".</t>
        </is>
      </c>
      <c r="L29" s="13" t="inlineStr">
        <is>
          <t>Automated</t>
        </is>
      </c>
      <c r="M29" s="25" t="inlineStr">
        <is>
          <t>Production-safe</t>
        </is>
      </c>
      <c r="N29" s="25" t="inlineStr">
        <is>
          <t>-</t>
        </is>
      </c>
      <c r="O29" s="25" t="inlineStr">
        <is>
          <t>tests/e2e/storefront/configuration/sheet-sticker-configurator.spec.ts</t>
        </is>
      </c>
      <c r="P29" s="25" t="inlineStr">
        <is>
          <t>MS-CFG-013 circle sheet sticker: full cart page "사이즈 변경" dialog exposes material + size only (no quantity), and updates price</t>
        </is>
      </c>
      <c r="Q29" s="25" t="inlineStr">
        <is>
          <t>@regression @production @purchasing</t>
        </is>
      </c>
      <c r="R29" s="13" t="n">
        <v>1</v>
      </c>
      <c r="S29" s="25" t="inlineStr">
        <is>
          <t>Having no quantity field in this dialog is intended, not a defect: quantity is edited only through the row select (MS-CFG-014). test-case.md says the dialog shows 소재 and 개별 사이즈; the code does not check those labels, only that 수량 is absent. The default sheet material 무광 화이트 was labelled PVC 매트 until early October 2026. Uses 10시트, the smallest tier since early October 2026: 5시트 was dropped, and until the selector was fixed on 2026-10-14 asking for 5 silently picked 50시트.</t>
        </is>
      </c>
      <c r="T29" s="14" t="inlineStr">
        <is>
          <t>Not Run</t>
        </is>
      </c>
      <c r="U29" s="15" t="n"/>
      <c r="V29" s="15" t="n"/>
      <c r="W29" s="15" t="n"/>
      <c r="X29" s="15" t="n"/>
      <c r="Y29" s="25" t="inlineStr">
        <is>
          <t>MS-V2-056</t>
        </is>
      </c>
    </row>
    <row r="30" ht="150" customHeight="1">
      <c r="A30" s="12" t="inlineStr">
        <is>
          <t>MS-CFG-014</t>
        </is>
      </c>
      <c r="B30" s="25" t="inlineStr">
        <is>
          <t>Storefront</t>
        </is>
      </c>
      <c r="C30" s="25" t="inlineStr">
        <is>
          <t>3. Product configuration</t>
        </is>
      </c>
      <c r="D30" s="25" t="inlineStr">
        <is>
          <t>Sheet sticker configurator</t>
        </is>
      </c>
      <c r="E30" s="25" t="inlineStr">
        <is>
          <t>Choosing 500시트 in a cart row's quantity select updates the cart total right away, with no confirm step.</t>
        </is>
      </c>
      <c r="F30" s="13" t="inlineStr">
        <is>
          <t>High</t>
        </is>
      </c>
      <c r="G30" s="25" t="inlineStr">
        <is>
          <t>Functional</t>
        </is>
      </c>
      <c r="H30" s="25" t="inlineStr">
        <is>
          <t>Anonymous (guest) session; storefront reachable at the configured BASE_URL (E2E_ENVIRONMENT / .env). No login needed. Adds an item to the guest cart only; no order is placed. Material and size are left at the page defaults.</t>
        </is>
      </c>
      <c r="I30" s="25" t="inlineStr">
        <is>
          <t>Product: 원형 판스티커 (/kr/sheet-stickers/circle-sheet); initial quantity 5 (sheets); new quantity 500시트</t>
        </is>
      </c>
      <c r="J30" s="25" t="inlineStr">
        <is>
          <t xml:space="preserve">1. Open /kr/sheet-stickers/circle-sheet and check the H1 reads 원형 판스티커.
2. Click the 10시트 quantity tier.
3. Click 다음 단계; in the 어떻게 주문하시겠어요? chooser click 이 단계를 건너뛰고 나중에 파일 보내기.
4. In the cart preview drawer, click 장바구니 보기 (goes to /kr/cart).
5. Note the total, then open the 원형 판스티커 row's quantity select (button.cart-qty-select-trigger).
6. Pick the option starting with 500시트.
7. Check the total and the row.</t>
        </is>
      </c>
      <c r="K30" s="25" t="inlineStr">
        <is>
          <t>The listbox opens; after picking 500시트, the cart-page-summary total changes within 15 s with no confirm or update button; the row contains "500시트".</t>
        </is>
      </c>
      <c r="L30" s="13" t="inlineStr">
        <is>
          <t>Automated</t>
        </is>
      </c>
      <c r="M30" s="25" t="inlineStr">
        <is>
          <t>Production-safe</t>
        </is>
      </c>
      <c r="N30" s="25" t="inlineStr">
        <is>
          <t>-</t>
        </is>
      </c>
      <c r="O30" s="25" t="inlineStr">
        <is>
          <t>tests/e2e/storefront/configuration/sheet-sticker-configurator.spec.ts</t>
        </is>
      </c>
      <c r="P30" s="25" t="inlineStr">
        <is>
          <t>MS-CFG-014 circle sheet sticker: full cart page row quantity select updates price without a separate confirm step</t>
        </is>
      </c>
      <c r="Q30" s="25" t="inlineStr">
        <is>
          <t>@regression @production @purchasing</t>
        </is>
      </c>
      <c r="R30" s="13" t="n">
        <v>1</v>
      </c>
      <c r="S30" s="25" t="inlineStr">
        <is>
          <t>test-case.md lists 무광 화이트 as a precondition; the code never selects a material and uses the page default. The default sheet material 무광 화이트 was labelled PVC 매트 until early October 2026. Uses 10시트, the smallest tier since early October 2026: 5시트 was dropped, and until the selector was fixed on 2026-10-14 asking for 5 silently picked 50시트.</t>
        </is>
      </c>
      <c r="T30" s="14" t="inlineStr">
        <is>
          <t>Not Run</t>
        </is>
      </c>
      <c r="U30" s="15" t="n"/>
      <c r="V30" s="15" t="n"/>
      <c r="W30" s="15" t="n"/>
      <c r="X30" s="15" t="n"/>
      <c r="Y30" s="25" t="inlineStr">
        <is>
          <t>MS-V2-057</t>
        </is>
      </c>
    </row>
    <row r="31" ht="150" customHeight="1">
      <c r="A31" s="12" t="inlineStr">
        <is>
          <t>MS-CFG-015</t>
        </is>
      </c>
      <c r="B31" s="25" t="inlineStr">
        <is>
          <t>Storefront</t>
        </is>
      </c>
      <c r="C31" s="25" t="inlineStr">
        <is>
          <t>3. Product configuration</t>
        </is>
      </c>
      <c r="D31" s="25" t="inlineStr">
        <is>
          <t>Sheet sticker configurator</t>
        </is>
      </c>
      <c r="E31" s="25" t="inlineStr">
        <is>
          <t>The size-guide pictures on each shaped sheet sticker page have meaningful Korean alt text, not raw i18n keys or paper-size labels.</t>
        </is>
      </c>
      <c r="F31" s="13" t="inlineStr">
        <is>
          <t>High</t>
        </is>
      </c>
      <c r="G31" s="25" t="inlineStr">
        <is>
          <t>Accessibility</t>
        </is>
      </c>
      <c r="H31" s="25" t="inlineStr">
        <is>
          <t>Anonymous (guest) session; storefront reachable at the configured BASE_URL (E2E_ENVIRONMENT / .env). No login needed.</t>
        </is>
      </c>
      <c r="I31" s="25" t="inlineStr">
        <is>
          <t>Parameterized x5: 원형 판스티커 (circle-sheet), 타원형 판스티커 (oval-sheet), 정사각형 판스티커 (square-sheet), 직사각형 판스티커 (rectangle-sheet), 둥근 사각 판스티커 (rounded-sheet), all under /kr/sheet-stickers/</t>
        </is>
      </c>
      <c r="J31" s="25" t="inlineStr">
        <is>
          <t xml:space="preserve">1. Open the product page (e.g. /kr/sheet-stickers/circle-sheet) and check the H1.
2. Find the size-guide pictures (.mini-feature-image).
3. Read each picture's alt text.</t>
        </is>
      </c>
      <c r="K31" s="25" t="inlineStr">
        <is>
          <t>At least one .mini-feature-image exists. No alt text starts with "product.sizes." (a raw i18n key), and none looks like a sheet or paper-size label (matches /^A\d+\s/ or /^\d+\s*x\s*\d+$/, e.g. "A6 105x148" or "72x170").</t>
        </is>
      </c>
      <c r="L31" s="13" t="inlineStr">
        <is>
          <t>Automated</t>
        </is>
      </c>
      <c r="M31" s="25" t="inlineStr">
        <is>
          <t>Production-safe</t>
        </is>
      </c>
      <c r="N31" s="25" t="inlineStr">
        <is>
          <t>-</t>
        </is>
      </c>
      <c r="O31" s="25" t="inlineStr">
        <is>
          <t>tests/e2e/storefront/configuration/sheet-sticker-configurator.spec.ts</t>
        </is>
      </c>
      <c r="P31" s="25" t="inlineStr">
        <is>
          <t>MS-CFG-015 원형 판스티커 size-guide illustrations have meaningful, localized alt text</t>
        </is>
      </c>
      <c r="Q31" s="25" t="inlineStr">
        <is>
          <t>@regression @production @purchasing</t>
        </is>
      </c>
      <c r="R31" s="13" t="n">
        <v>5</v>
      </c>
      <c r="S31" s="25" t="inlineStr">
        <is>
          <t>KNOWN DEFECT. The test is marked test.fixme, so it is skipped rather than run. Circle, oval and rectangle sheets show raw keys such as "product.sizes.small40x40.label"; square and rounded sheets show paper-size labels such as "A6 105x148" or "72x170". First seen on dev-3 on 2026-08-12 and confirmed unfixed on production in run #94 (2026-08-20), where all 5 variants failed. test-case.md wrongly says the test is not fixme'd and fails on dev-3 only. Remove the fixme once the alt text is localized. Priority P1 is taken from test-case.md.</t>
        </is>
      </c>
      <c r="T31" s="14" t="inlineStr">
        <is>
          <t>Not Run</t>
        </is>
      </c>
      <c r="U31" s="15" t="n"/>
      <c r="V31" s="15" t="n"/>
      <c r="W31" s="15" t="n"/>
      <c r="X31" s="15" t="n"/>
      <c r="Y31" s="25" t="inlineStr">
        <is>
          <t>MS-V2-058</t>
        </is>
      </c>
    </row>
    <row r="32" ht="150" customHeight="1">
      <c r="A32" s="16" t="inlineStr">
        <is>
          <t>MS-CFG-016</t>
        </is>
      </c>
      <c r="B32" s="25" t="inlineStr">
        <is>
          <t>Storefront</t>
        </is>
      </c>
      <c r="C32" s="25" t="inlineStr">
        <is>
          <t>3. Product configuration</t>
        </is>
      </c>
      <c r="D32" s="25" t="inlineStr">
        <is>
          <t>Sheet sticker configurator</t>
        </is>
      </c>
      <c r="E32" s="17" t="inlineStr">
        <is>
          <t>Withdrawn: sheet sticker per-unit price is always a whole-won amount.</t>
        </is>
      </c>
      <c r="F32" s="13" t="inlineStr">
        <is>
          <t>Medium</t>
        </is>
      </c>
      <c r="G32" s="25" t="inlineStr">
        <is>
          <t>Data</t>
        </is>
      </c>
      <c r="H32" s="25" t="inlineStr">
        <is>
          <t>-</t>
        </is>
      </c>
      <c r="I32" s="25" t="inlineStr">
        <is>
          <t>-</t>
        </is>
      </c>
      <c r="J32" s="25" t="inlineStr">
        <is>
          <t>-</t>
        </is>
      </c>
      <c r="K32" s="25" t="inlineStr">
        <is>
          <t>-</t>
        </is>
      </c>
      <c r="L32" s="13" t="inlineStr">
        <is>
          <t>Withdrawn</t>
        </is>
      </c>
      <c r="M32" s="25" t="inlineStr">
        <is>
          <t>Production-safe</t>
        </is>
      </c>
      <c r="N32" s="25" t="inlineStr">
        <is>
          <t>-</t>
        </is>
      </c>
      <c r="O32" s="25" t="inlineStr">
        <is>
          <t>-</t>
        </is>
      </c>
      <c r="P32" s="25" t="inlineStr">
        <is>
          <t>-</t>
        </is>
      </c>
      <c r="Q32" s="25" t="inlineStr">
        <is>
          <t>-</t>
        </is>
      </c>
      <c r="R32" s="13" t="n">
        <v>0</v>
      </c>
      <c r="S32" s="25" t="inlineStr">
        <is>
          <t>withdrawn 2026-08-13: a fractional per-unit readout (e.g. 1매당 8.582원) was confirmed with Korean staff to be intended pricing behaviour, not a defect. Must not be re-added.</t>
        </is>
      </c>
      <c r="T32" s="14" t="inlineStr">
        <is>
          <t>N/A</t>
        </is>
      </c>
      <c r="U32" s="15" t="n"/>
      <c r="V32" s="15" t="n"/>
      <c r="W32" s="15" t="n"/>
      <c r="X32" s="15" t="n"/>
      <c r="Y32" s="25" t="inlineStr">
        <is>
          <t>MS-V2-059</t>
        </is>
      </c>
    </row>
    <row r="33" ht="150" customHeight="1">
      <c r="A33" s="12" t="inlineStr">
        <is>
          <t>MS-CFG-017</t>
        </is>
      </c>
      <c r="B33" s="25" t="inlineStr">
        <is>
          <t>Storefront</t>
        </is>
      </c>
      <c r="C33" s="25" t="inlineStr">
        <is>
          <t>3. Product configuration</t>
        </is>
      </c>
      <c r="D33" s="25" t="inlineStr">
        <is>
          <t>Sticker catalog configurator</t>
        </is>
      </c>
      <c r="E33" s="25" t="inlineStr">
        <is>
          <t>Each plain die-cut shape sticker under /stickers can be given a size and quantity, is priced, and can be added to the cart.</t>
        </is>
      </c>
      <c r="F33" s="13" t="inlineStr">
        <is>
          <t>High</t>
        </is>
      </c>
      <c r="G33" s="25" t="inlineStr">
        <is>
          <t>E2E</t>
        </is>
      </c>
      <c r="H33" s="25" t="inlineStr">
        <is>
          <t>Anonymous (guest) session; storefront reachable at the configured BASE_URL (E2E_ENVIRONMENT / .env). No login needed. Adds an item to the guest cart only; no order is placed.</t>
        </is>
      </c>
      <c r="I33" s="25" t="inlineStr">
        <is>
          <t>Parameterized x8, quantity 100 each: 홀로그램 스티커 (/kr/stickers/hologram-sticker, 중형 75x75); 원형 스티커 (circle-sticker, 중형 60x60); 직사각형 스티커 (rectangle-sticker, 중형 75x50); 정사각형 스티커 (square-sticker, 중형 75x75); 타원형 스티커 (oval-sticker, 중형 75x50); 둥근 사각 스티커 (rounded-sticker, 중형 75x75); 도무송 스티커 (kiss-cut-sticker, 중형 75x75); 투명 스티커 (clear-sticker, 중형 75x75)</t>
        </is>
      </c>
      <c r="J33" s="25" t="inlineStr">
        <is>
          <t xml:space="preserve">1. Open the product page (e.g. /kr/stickers/circle-sticker) and check the H1 (e.g. 원형 스티커).
2. Click the listed size (e.g. 중형 60x60).
3. Click the quantity tier starting with 100 that shows a won price.
4. Check a price is shown and 다음 단계 is enabled.
5. Click 다음 단계; in the 어떻게 주문하시겠어요? chooser click 이 단계를 건너뛰고 나중에 파일 보내기.
6. Check the cart preview drawer.</t>
        </is>
      </c>
      <c r="K33" s="25" t="inlineStr">
        <is>
          <t>a won amount (e.g. "12,300원") is visible in the options panel; 다음 단계 is enabled; a dialog opens after 다음 단계; the 장바구니 미리보기 (cart preview) drawer opens and contains a line item named "&lt;product name&gt;" showing "수량: 100".</t>
        </is>
      </c>
      <c r="L33" s="13" t="inlineStr">
        <is>
          <t>Automated</t>
        </is>
      </c>
      <c r="M33" s="25" t="inlineStr">
        <is>
          <t>Production-safe</t>
        </is>
      </c>
      <c r="N33" s="25" t="inlineStr">
        <is>
          <t>-</t>
        </is>
      </c>
      <c r="O33" s="25" t="inlineStr">
        <is>
          <t>tests/e2e/storefront/configuration/sticker-catalog-configurator.spec.ts</t>
        </is>
      </c>
      <c r="P33" s="25" t="inlineStr">
        <is>
          <t>MS-CFG-017 홀로그램 스티커 supports size and quantity selection through to cart</t>
        </is>
      </c>
      <c r="Q33" s="25" t="inlineStr">
        <is>
          <t>@regression @production @purchasing</t>
        </is>
      </c>
      <c r="R33" s="13" t="n">
        <v>8</v>
      </c>
      <c r="S33" s="25" t="inlineStr">
        <is>
          <t>These products have no material selector (checked on dev-3, 2026-08-13). kiss-cut-sticker was renamed from 키스컷 to 도무송 스티커 in September 2026. There is no detailed section for this ID in test-case.md; steps come from the code.</t>
        </is>
      </c>
      <c r="T33" s="14" t="inlineStr">
        <is>
          <t>Not Run</t>
        </is>
      </c>
      <c r="U33" s="15" t="n"/>
      <c r="V33" s="15" t="n"/>
      <c r="W33" s="15" t="n"/>
      <c r="X33" s="15" t="n"/>
      <c r="Y33" s="25" t="inlineStr">
        <is>
          <t>MS-V2-060</t>
        </is>
      </c>
    </row>
    <row r="34" ht="150" customHeight="1">
      <c r="A34" s="12" t="inlineStr">
        <is>
          <t>MS-CFG-018</t>
        </is>
      </c>
      <c r="B34" s="25" t="inlineStr">
        <is>
          <t>Storefront</t>
        </is>
      </c>
      <c r="C34" s="25" t="inlineStr">
        <is>
          <t>3. Product configuration</t>
        </is>
      </c>
      <c r="D34" s="25" t="inlineStr">
        <is>
          <t>Sticker catalog configurator</t>
        </is>
      </c>
      <c r="E34" s="25" t="inlineStr">
        <is>
          <t>Each plain die-cut roll sticker under /roll-stickers can be given a size and quantity, is priced, and can be added to the cart.</t>
        </is>
      </c>
      <c r="F34" s="13" t="inlineStr">
        <is>
          <t>High</t>
        </is>
      </c>
      <c r="G34" s="25" t="inlineStr">
        <is>
          <t>E2E</t>
        </is>
      </c>
      <c r="H34" s="25" t="inlineStr">
        <is>
          <t>Anonymous (guest) session; storefront reachable at the configured BASE_URL (E2E_ENVIRONMENT / .env). No login needed. Adds an item to the guest cart only; no order is placed.</t>
        </is>
      </c>
      <c r="I34" s="25" t="inlineStr">
        <is>
          <t>Parameterized x7, quantity 100 each: 투명 롤 스티커 (/kr/roll-stickers/clear-roll, 중형 75x75); 원형 롤 스티커 (circle-roll, 중형 60x60); 정사각형 롤 스티커 (square-roll, 중형 75x75); 직사각형 롤 스티커 (rectangle-roll, 중형 75x50); 둥근 사각 롤 스티커 (rounded-roll, 중형 75x75); 타원형 롤 스티커 (oval-roll, 중형 75x50); 종이 롤 스티커 (paper-roll, 중형 75x75)</t>
        </is>
      </c>
      <c r="J34" s="25" t="inlineStr">
        <is>
          <t xml:space="preserve">1. Open the product page (e.g. /kr/roll-stickers/circle-roll) and check the H1 (e.g. 원형 롤 스티커).
2. Click the listed size (e.g. 중형 60x60).
3. Click the quantity tier starting with 100 that shows a won price.
4. Check a price is shown and 다음 단계 is enabled.
5. Click 다음 단계; in the 어떻게 주문하시겠어요? chooser click 이 단계를 건너뛰고 나중에 파일 보내기.
6. Check the cart preview drawer.</t>
        </is>
      </c>
      <c r="K34" s="25" t="inlineStr">
        <is>
          <t>a won amount (e.g. "12,300원") is visible in the options panel; 다음 단계 is enabled; a dialog opens after 다음 단계; the 장바구니 미리보기 (cart preview) drawer opens and contains a line item named "&lt;cart name&gt;" showing "수량: 100".</t>
        </is>
      </c>
      <c r="L34" s="13" t="inlineStr">
        <is>
          <t>Automated</t>
        </is>
      </c>
      <c r="M34" s="25" t="inlineStr">
        <is>
          <t>Production-safe</t>
        </is>
      </c>
      <c r="N34" s="25" t="inlineStr">
        <is>
          <t>-</t>
        </is>
      </c>
      <c r="O34" s="25" t="inlineStr">
        <is>
          <t>tests/e2e/storefront/configuration/sticker-catalog-configurator.spec.ts</t>
        </is>
      </c>
      <c r="P34" s="25" t="inlineStr">
        <is>
          <t>MS-CFG-018 투명 롤 스티커 supports size and quantity selection through to cart</t>
        </is>
      </c>
      <c r="Q34" s="25" t="inlineStr">
        <is>
          <t>@regression @production @purchasing</t>
        </is>
      </c>
      <c r="R34" s="13" t="n">
        <v>7</v>
      </c>
      <c r="S34" s="25" t="inlineStr">
        <is>
          <t>The rounded-roll H1 read 둥근 사각형 롤 스티커 until early October 2026; it now matches its card and cart line (둥근 사각 롤 스티커). paper-roll was renamed from 아트지 롤 to 종이 롤 스티커 (production's card has gone back to 아트지 롤, MUS-QA-016). There is no detailed section for this ID in test-case.md.</t>
        </is>
      </c>
      <c r="T34" s="14" t="inlineStr">
        <is>
          <t>Not Run</t>
        </is>
      </c>
      <c r="U34" s="15" t="n"/>
      <c r="V34" s="15" t="n"/>
      <c r="W34" s="15" t="n"/>
      <c r="X34" s="15" t="n"/>
      <c r="Y34" s="25" t="inlineStr">
        <is>
          <t>MS-V2-061</t>
        </is>
      </c>
    </row>
    <row r="35" ht="150" customHeight="1">
      <c r="A35" s="12" t="inlineStr">
        <is>
          <t>MS-CFG-019</t>
        </is>
      </c>
      <c r="B35" s="25" t="inlineStr">
        <is>
          <t>Storefront</t>
        </is>
      </c>
      <c r="C35" s="25" t="inlineStr">
        <is>
          <t>3. Product configuration</t>
        </is>
      </c>
      <c r="D35" s="25" t="inlineStr">
        <is>
          <t>Sticker catalog configurator</t>
        </is>
      </c>
      <c r="E35" s="25" t="inlineStr">
        <is>
          <t>Entering a custom 20x20 mm size on the circle sticker produces a price and keeps 다음 단계 enabled.</t>
        </is>
      </c>
      <c r="F35" s="13" t="inlineStr">
        <is>
          <t>High</t>
        </is>
      </c>
      <c r="G35" s="25" t="inlineStr">
        <is>
          <t>Functional</t>
        </is>
      </c>
      <c r="H35" s="25" t="inlineStr">
        <is>
          <t>Anonymous (guest) session; storefront reachable at the configured BASE_URL (E2E_ENVIRONMENT / .env). No login needed.</t>
        </is>
      </c>
      <c r="I35" s="25" t="inlineStr">
        <is>
          <t>Product: 원형 스티커 (/kr/stickers/circle-sticker); custom size 20 x 20 mm</t>
        </is>
      </c>
      <c r="J35" s="25" t="inlineStr">
        <is>
          <t xml:space="preserve">1. Open /kr/stickers/circle-sticker and check the H1 reads 원형 스티커.
2. Wait for the quantity tiers to show non-zero prices.
3. Click 원하는 크기 입력.
4. Type 20 for width and 20 for height, then leave the field.
5. Check the price and 다음 단계.</t>
        </is>
      </c>
      <c r="K35" s="25" t="inlineStr">
        <is>
          <t>The custom width/height inputs appear; a won amount (e.g. "12,300원") is visible in the options panel; 다음 단계 is enabled.</t>
        </is>
      </c>
      <c r="L35" s="13" t="inlineStr">
        <is>
          <t>Automated</t>
        </is>
      </c>
      <c r="M35" s="25" t="inlineStr">
        <is>
          <t>Production-safe</t>
        </is>
      </c>
      <c r="N35" s="25" t="inlineStr">
        <is>
          <t>-</t>
        </is>
      </c>
      <c r="O35" s="25" t="inlineStr">
        <is>
          <t>tests/e2e/storefront/configuration/sticker-catalog-configurator.spec.ts</t>
        </is>
      </c>
      <c r="P35" s="25" t="inlineStr">
        <is>
          <t>MS-CFG-019 circle sticker: custom individual size recalculates the price</t>
        </is>
      </c>
      <c r="Q35" s="25" t="inlineStr">
        <is>
          <t>@regression @production @purchasing</t>
        </is>
      </c>
      <c r="R35" s="13" t="n">
        <v>1</v>
      </c>
      <c r="S35" s="25" t="inlineStr">
        <is>
          <t>"Recalculates" is not checked: no price is compared before and after. There is no detailed section in test-case.md.</t>
        </is>
      </c>
      <c r="T35" s="14" t="inlineStr">
        <is>
          <t>Not Run</t>
        </is>
      </c>
      <c r="U35" s="15" t="n"/>
      <c r="V35" s="15" t="n"/>
      <c r="W35" s="15" t="n"/>
      <c r="X35" s="15" t="n"/>
      <c r="Y35" s="25" t="inlineStr">
        <is>
          <t>MS-V2-062</t>
        </is>
      </c>
    </row>
    <row r="36" ht="150" customHeight="1">
      <c r="A36" s="12" t="inlineStr">
        <is>
          <t>MS-CFG-020</t>
        </is>
      </c>
      <c r="B36" s="25" t="inlineStr">
        <is>
          <t>Storefront</t>
        </is>
      </c>
      <c r="C36" s="25" t="inlineStr">
        <is>
          <t>3. Product configuration</t>
        </is>
      </c>
      <c r="D36" s="25" t="inlineStr">
        <is>
          <t>Sticker catalog configurator</t>
        </is>
      </c>
      <c r="E36" s="25" t="inlineStr">
        <is>
          <t>Entering a custom 20x20 mm size on the circle roll sticker produces a price and keeps 다음 단계 enabled.</t>
        </is>
      </c>
      <c r="F36" s="13" t="inlineStr">
        <is>
          <t>High</t>
        </is>
      </c>
      <c r="G36" s="25" t="inlineStr">
        <is>
          <t>Functional</t>
        </is>
      </c>
      <c r="H36" s="25" t="inlineStr">
        <is>
          <t>Anonymous (guest) session; storefront reachable at the configured BASE_URL (E2E_ENVIRONMENT / .env). No login needed.</t>
        </is>
      </c>
      <c r="I36" s="25" t="inlineStr">
        <is>
          <t>Product: 원형 롤 스티커 (/kr/roll-stickers/circle-roll); custom size 20 x 20 mm</t>
        </is>
      </c>
      <c r="J36" s="25" t="inlineStr">
        <is>
          <t xml:space="preserve">1. Open /kr/roll-stickers/circle-roll and check the H1 reads 원형 롤 스티커.
2. Wait for the quantity tiers to show non-zero prices.
3. Click 원하는 크기 입력.
4. Type 20 for width and 20 for height, then leave the field.
5. Check the price and 다음 단계.</t>
        </is>
      </c>
      <c r="K36" s="25" t="inlineStr">
        <is>
          <t>The custom width/height inputs appear; a won amount (e.g. "12,300원") is visible in the options panel; 다음 단계 is enabled.</t>
        </is>
      </c>
      <c r="L36" s="13" t="inlineStr">
        <is>
          <t>Automated</t>
        </is>
      </c>
      <c r="M36" s="25" t="inlineStr">
        <is>
          <t>Production-safe</t>
        </is>
      </c>
      <c r="N36" s="25" t="inlineStr">
        <is>
          <t>-</t>
        </is>
      </c>
      <c r="O36" s="25" t="inlineStr">
        <is>
          <t>tests/e2e/storefront/configuration/sticker-catalog-configurator.spec.ts</t>
        </is>
      </c>
      <c r="P36" s="25" t="inlineStr">
        <is>
          <t>MS-CFG-020 circle roll sticker: custom individual size recalculates the price</t>
        </is>
      </c>
      <c r="Q36" s="25" t="inlineStr">
        <is>
          <t>@regression @production @purchasing</t>
        </is>
      </c>
      <c r="R36" s="13" t="n">
        <v>1</v>
      </c>
      <c r="S36" s="25" t="inlineStr">
        <is>
          <t>"Recalculates" is not checked: no price is compared before and after. There is no detailed section in test-case.md.</t>
        </is>
      </c>
      <c r="T36" s="14" t="inlineStr">
        <is>
          <t>Not Run</t>
        </is>
      </c>
      <c r="U36" s="15" t="n"/>
      <c r="V36" s="15" t="n"/>
      <c r="W36" s="15" t="n"/>
      <c r="X36" s="15" t="n"/>
      <c r="Y36" s="25" t="inlineStr">
        <is>
          <t>MS-V2-063</t>
        </is>
      </c>
    </row>
    <row r="37" ht="150" customHeight="1">
      <c r="A37" s="12" t="inlineStr">
        <is>
          <t>MS-CFG-021</t>
        </is>
      </c>
      <c r="B37" s="25" t="inlineStr">
        <is>
          <t>Storefront</t>
        </is>
      </c>
      <c r="C37" s="25" t="inlineStr">
        <is>
          <t>3. Product configuration</t>
        </is>
      </c>
      <c r="D37" s="25" t="inlineStr">
        <is>
          <t>Sticker catalog configurator</t>
        </is>
      </c>
      <c r="E37" s="25" t="inlineStr">
        <is>
          <t>On the circle sticker, a 1,000-piece quantity shows a -NN% discount badge and a 10-piece quantity shows none.</t>
        </is>
      </c>
      <c r="F37" s="13" t="inlineStr">
        <is>
          <t>Medium</t>
        </is>
      </c>
      <c r="G37" s="25" t="inlineStr">
        <is>
          <t>Functional</t>
        </is>
      </c>
      <c r="H37" s="25" t="inlineStr">
        <is>
          <t>Anonymous (guest) session; storefront reachable at the configured BASE_URL (E2E_ENVIRONMENT / .env). No login needed.</t>
        </is>
      </c>
      <c r="I37" s="25" t="inlineStr">
        <is>
          <t>Product: 원형 스티커 (/kr/stickers/circle-sticker); quantities 10 and 1000</t>
        </is>
      </c>
      <c r="J37" s="25" t="inlineStr">
        <is>
          <t xml:space="preserve">1. Open /kr/stickers/circle-sticker and check the H1 reads 원형 스티커.
2. Click the quantity tier starting with 10 that shows a won price.
3. Check there is no -NN% badge.
4. Click the 1,000 quantity tier.
5. Check a -NN% badge is shown.</t>
        </is>
      </c>
      <c r="K37" s="25" t="inlineStr">
        <is>
          <t>With 10 selected, the options panel has no text matching /^-\d+%$/. With 1,000 selected, a "-NN%" badge is visible.</t>
        </is>
      </c>
      <c r="L37" s="13" t="inlineStr">
        <is>
          <t>Automated</t>
        </is>
      </c>
      <c r="M37" s="25" t="inlineStr">
        <is>
          <t>Production-safe</t>
        </is>
      </c>
      <c r="N37" s="25" t="inlineStr">
        <is>
          <t>-</t>
        </is>
      </c>
      <c r="O37" s="25" t="inlineStr">
        <is>
          <t>tests/e2e/storefront/configuration/sticker-catalog-configurator.spec.ts</t>
        </is>
      </c>
      <c r="P37" s="25" t="inlineStr">
        <is>
          <t>MS-CFG-021 circle sticker: bulk quantity tiers surface a discount that smaller tiers do not</t>
        </is>
      </c>
      <c r="Q37" s="25" t="inlineStr">
        <is>
          <t>@regression @production @purchasing</t>
        </is>
      </c>
      <c r="R37" s="13" t="n">
        <v>1</v>
      </c>
      <c r="S37" s="25" t="inlineStr">
        <is>
          <t>Only the badge is checked, not its value. There is no detailed section in test-case.md.</t>
        </is>
      </c>
      <c r="T37" s="14" t="inlineStr">
        <is>
          <t>Not Run</t>
        </is>
      </c>
      <c r="U37" s="15" t="n"/>
      <c r="V37" s="15" t="n"/>
      <c r="W37" s="15" t="n"/>
      <c r="X37" s="15" t="n"/>
      <c r="Y37" s="25" t="inlineStr">
        <is>
          <t>MS-V2-064</t>
        </is>
      </c>
    </row>
    <row r="38" ht="150" customHeight="1">
      <c r="A38" s="12" t="inlineStr">
        <is>
          <t>MS-CFG-022</t>
        </is>
      </c>
      <c r="B38" s="25" t="inlineStr">
        <is>
          <t>Storefront</t>
        </is>
      </c>
      <c r="C38" s="25" t="inlineStr">
        <is>
          <t>3. Product configuration</t>
        </is>
      </c>
      <c r="D38" s="25" t="inlineStr">
        <is>
          <t>Sticker catalog configurator</t>
        </is>
      </c>
      <c r="E38" s="25" t="inlineStr">
        <is>
          <t>On the circle roll sticker, a 1,000-piece quantity shows a -NN% discount badge and a 10-piece quantity shows none.</t>
        </is>
      </c>
      <c r="F38" s="13" t="inlineStr">
        <is>
          <t>Medium</t>
        </is>
      </c>
      <c r="G38" s="25" t="inlineStr">
        <is>
          <t>Functional</t>
        </is>
      </c>
      <c r="H38" s="25" t="inlineStr">
        <is>
          <t>Anonymous (guest) session; storefront reachable at the configured BASE_URL (E2E_ENVIRONMENT / .env). No login needed.</t>
        </is>
      </c>
      <c r="I38" s="25" t="inlineStr">
        <is>
          <t>Product: 원형 롤 스티커 (/kr/roll-stickers/circle-roll); quantities 10 and 1000</t>
        </is>
      </c>
      <c r="J38" s="25" t="inlineStr">
        <is>
          <t xml:space="preserve">1. Open /kr/roll-stickers/circle-roll and check the H1 reads 원형 롤 스티커.
2. Click the quantity tier starting with 10 that shows a won price.
3. Check there is no -NN% badge.
4. Click the 1,000 quantity tier.
5. Check a -NN% badge is shown.</t>
        </is>
      </c>
      <c r="K38" s="25" t="inlineStr">
        <is>
          <t>With 10 selected, the options panel has no text matching /^-\d+%$/. With 1,000 selected, a "-NN%" badge is visible.</t>
        </is>
      </c>
      <c r="L38" s="13" t="inlineStr">
        <is>
          <t>Automated</t>
        </is>
      </c>
      <c r="M38" s="25" t="inlineStr">
        <is>
          <t>Production-safe</t>
        </is>
      </c>
      <c r="N38" s="25" t="inlineStr">
        <is>
          <t>-</t>
        </is>
      </c>
      <c r="O38" s="25" t="inlineStr">
        <is>
          <t>tests/e2e/storefront/configuration/sticker-catalog-configurator.spec.ts</t>
        </is>
      </c>
      <c r="P38" s="25" t="inlineStr">
        <is>
          <t>MS-CFG-022 circle roll sticker: bulk quantity tiers surface a discount that smaller tiers do not</t>
        </is>
      </c>
      <c r="Q38" s="25" t="inlineStr">
        <is>
          <t>@regression @production @purchasing</t>
        </is>
      </c>
      <c r="R38" s="13" t="n">
        <v>1</v>
      </c>
      <c r="S38" s="25" t="inlineStr">
        <is>
          <t>Only the badge is checked, not its value. There is no detailed section in test-case.md.</t>
        </is>
      </c>
      <c r="T38" s="14" t="inlineStr">
        <is>
          <t>Not Run</t>
        </is>
      </c>
      <c r="U38" s="15" t="n"/>
      <c r="V38" s="15" t="n"/>
      <c r="W38" s="15" t="n"/>
      <c r="X38" s="15" t="n"/>
      <c r="Y38" s="25" t="inlineStr">
        <is>
          <t>MS-V2-065</t>
        </is>
      </c>
    </row>
    <row r="39" ht="150" customHeight="1">
      <c r="A39" s="12" t="inlineStr">
        <is>
          <t>MS-CFG-023</t>
        </is>
      </c>
      <c r="B39" s="25" t="inlineStr">
        <is>
          <t>Storefront</t>
        </is>
      </c>
      <c r="C39" s="25" t="inlineStr">
        <is>
          <t>3. Product configuration</t>
        </is>
      </c>
      <c r="D39" s="25" t="inlineStr">
        <is>
          <t>Sticker sheet and lettering</t>
        </is>
      </c>
      <c r="E39" s="25" t="inlineStr">
        <is>
          <t>The 판스티커 (sticker-sheet) product can be configured with material, sheet size and quantity, shows the template/guide links, and can be added to the cart.</t>
        </is>
      </c>
      <c r="F39" s="13" t="inlineStr">
        <is>
          <t>High</t>
        </is>
      </c>
      <c r="G39" s="25" t="inlineStr">
        <is>
          <t>E2E</t>
        </is>
      </c>
      <c r="H39" s="25" t="inlineStr">
        <is>
          <t>Anonymous (guest) session; storefront reachable at the configured BASE_URL (E2E_ENVIRONMENT / .env). No login needed. Adds an item to the guest cart only; no order is placed.</t>
        </is>
      </c>
      <c r="I39" s="25" t="inlineStr">
        <is>
          <t>Product: 판스티커 (/kr/stickers/sticker-sheet); material: 무광 화이트; sheet size: A5; quantity: 10</t>
        </is>
      </c>
      <c r="J39" s="25" t="inlineStr">
        <is>
          <t xml:space="preserve">1. Open /kr/stickers/sticker-sheet and check the H1 reads 판스티커.
2. Click material 무광 화이트.
3. Click the sheet size button starting with A5.
4. Click the quantity tier starting with 10 that shows a won price.
5. Check the page shows 시트 스티커 템플릿 다운로드 and 배치 가이드 보기, a price, and an enabled 다음 단계.
6. Click 다음 단계; in the 어떻게 주문하시겠어요? chooser click 이 단계를 건너뛰고 나중에 파일 보내기.
7. Check the cart preview drawer.
Where the page asks for 스티커 개수 (static-1 since early October 2026), enter 4 before 다음 단계.</t>
        </is>
      </c>
      <c r="K39" s="25" t="inlineStr">
        <is>
          <t>Page text contains "시트 스티커 템플릿 다운로드" and "배치 가이드 보기"; a won amount (e.g. "12,300원") is visible in the options panel; 다음 단계 is enabled; the 장바구니 미리보기 (cart preview) drawer opens and contains a line item named "판스티커" showing "수량: 10".</t>
        </is>
      </c>
      <c r="L39" s="13" t="inlineStr">
        <is>
          <t>Automated</t>
        </is>
      </c>
      <c r="M39" s="25" t="inlineStr">
        <is>
          <t>Production-safe</t>
        </is>
      </c>
      <c r="N39" s="25" t="inlineStr">
        <is>
          <t>-</t>
        </is>
      </c>
      <c r="O39" s="25" t="inlineStr">
        <is>
          <t>tests/e2e/storefront/configuration/sticker-sheet-and-lettering.spec.ts</t>
        </is>
      </c>
      <c r="P39" s="25" t="inlineStr">
        <is>
          <t>MS-CFG-023 custom sheet sticker supports material, sheet size, and quantity selection through to cart</t>
        </is>
      </c>
      <c r="Q39" s="25" t="inlineStr">
        <is>
          <t>@regression @production @purchasing</t>
        </is>
      </c>
      <c r="R39" s="13" t="n">
        <v>1</v>
      </c>
      <c r="S39" s="25" t="inlineStr">
        <is>
          <t>The product was renamed from 시트 스티커 to 판스티커 (September 2026). The cart line is found by the substring "판스티커", which other sheet-sticker lines also contain, but the 수량: 10 filter narrows it. There is no detailed section in test-case.md. The default sheet material 무광 화이트 was labelled PVC 매트 until early October 2026. static-1 added a required 스티커 개수 field ("시트에 배치할 스티커 개수를 입력해 주세요."); without it 다음 단계 answers 필수 입력 항목입니다. and disables itself. Production does not ask yet.</t>
        </is>
      </c>
      <c r="T39" s="14" t="inlineStr">
        <is>
          <t>Not Run</t>
        </is>
      </c>
      <c r="U39" s="15" t="n"/>
      <c r="V39" s="15" t="n"/>
      <c r="W39" s="15" t="n"/>
      <c r="X39" s="15" t="n"/>
      <c r="Y39" s="25" t="inlineStr">
        <is>
          <t>MS-V2-070</t>
        </is>
      </c>
    </row>
    <row r="40" ht="150" customHeight="1">
      <c r="A40" s="12" t="inlineStr">
        <is>
          <t>MS-CFG-024</t>
        </is>
      </c>
      <c r="B40" s="25" t="inlineStr">
        <is>
          <t>Storefront</t>
        </is>
      </c>
      <c r="C40" s="25" t="inlineStr">
        <is>
          <t>3. Product configuration</t>
        </is>
      </c>
      <c r="D40" s="25" t="inlineStr">
        <is>
          <t>Sticker sheet and lettering</t>
        </is>
      </c>
      <c r="E40" s="25" t="inlineStr">
        <is>
          <t>The 글자 커팅 스티커 (vinyl lettering) product can be set up with a colour, typed text and a quantity, and 다음 단계 adds it straight to the cart.</t>
        </is>
      </c>
      <c r="F40" s="13" t="inlineStr">
        <is>
          <t>High</t>
        </is>
      </c>
      <c r="G40" s="25" t="inlineStr">
        <is>
          <t>E2E</t>
        </is>
      </c>
      <c r="H40" s="25" t="inlineStr">
        <is>
          <t>Anonymous (guest) session; storefront reachable at the configured BASE_URL (E2E_ENVIRONMENT / .env). No login needed. Adds an item to the guest cart only; no order is placed.</t>
        </is>
      </c>
      <c r="I40" s="25" t="inlineStr">
        <is>
          <t>Product: 글자 커팅 스티커 (/kr/stickers/vinyl-lettering); colour swatch 검정 (aria-label "Black"); text "MUSTICKER QA"; quantity: 1</t>
        </is>
      </c>
      <c r="J40" s="25" t="inlineStr">
        <is>
          <t xml:space="preserve">1. Open /kr/stickers/vinyl-lettering and check the H1 reads 글자 커팅 스티커.
2. Click the colour swatch whose tooltip reads 검정.
3. Click the text canvas and type MUSTICKER QA.
4. Click the quantity tier starting with 1 that shows a won price.
5. Check a price is shown and 다음 단계 is enabled.
6. Click 다음 단계; there is no upload dialog or 장바구니 담기 step.
7. Check the cart preview drawer.</t>
        </is>
      </c>
      <c r="K40" s="25" t="inlineStr">
        <is>
          <t>a won amount (e.g. "12,300원") is visible in the options panel; 다음 단계 is enabled; after clicking it, Clicking 다음 단계 opens a dialog, or text matching 업로드 / 디자인 / 장바구니 / Upload / Cart becomes visible; the 장바구니 미리보기 (cart preview) drawer opens and contains a line item named "글자 커팅 스티커" showing "수량: 1".</t>
        </is>
      </c>
      <c r="L40" s="13" t="inlineStr">
        <is>
          <t>Automated</t>
        </is>
      </c>
      <c r="M40" s="25" t="inlineStr">
        <is>
          <t>Production-safe</t>
        </is>
      </c>
      <c r="N40" s="25" t="inlineStr">
        <is>
          <t>-</t>
        </is>
      </c>
      <c r="O40" s="25" t="inlineStr">
        <is>
          <t>tests/e2e/storefront/configuration/sticker-sheet-and-lettering.spec.ts</t>
        </is>
      </c>
      <c r="P40" s="25" t="inlineStr">
        <is>
          <t>MS-CFG-024 lettering sticker supports color, custom text, and quantity selection through to cart</t>
        </is>
      </c>
      <c r="Q40" s="25" t="inlineStr">
        <is>
          <t>@regression @production @purchasing</t>
        </is>
      </c>
      <c r="R40" s="13" t="n">
        <v>1</v>
      </c>
      <c r="S40" s="25" t="inlineStr">
        <is>
          <t>This product has no design-file upload: 다음 단계 adds the item to the cart and opens the drawer directly. The price stays at 0원 and 다음 단계 stays disabled until text is typed. The text area is a contenteditable canvas (testid product-category-vinyl-designer-textarea), not an input. The typed text is not checked in the cart line. There is no detailed section in test-case.md.</t>
        </is>
      </c>
      <c r="T40" s="14" t="inlineStr">
        <is>
          <t>Not Run</t>
        </is>
      </c>
      <c r="U40" s="15" t="n"/>
      <c r="V40" s="15" t="n"/>
      <c r="W40" s="15" t="n"/>
      <c r="X40" s="15" t="n"/>
      <c r="Y40" s="25" t="inlineStr">
        <is>
          <t>MS-V2-071</t>
        </is>
      </c>
    </row>
    <row r="41" ht="150" customHeight="1">
      <c r="A41" s="12" t="inlineStr">
        <is>
          <t>MS-CFG-025</t>
        </is>
      </c>
      <c r="B41" s="25" t="inlineStr">
        <is>
          <t>Storefront</t>
        </is>
      </c>
      <c r="C41" s="25" t="inlineStr">
        <is>
          <t>3. Product configuration</t>
        </is>
      </c>
      <c r="D41" s="25" t="inlineStr">
        <is>
          <t>Sticker sheet and lettering</t>
        </is>
      </c>
      <c r="E41" s="25" t="inlineStr">
        <is>
          <t>The full-colour lettering (transfer) sticker can be configured with a colour, size and quantity, and added to the cart.</t>
        </is>
      </c>
      <c r="F41" s="13" t="inlineStr">
        <is>
          <t>High</t>
        </is>
      </c>
      <c r="G41" s="25" t="inlineStr">
        <is>
          <t>E2E</t>
        </is>
      </c>
      <c r="H41" s="25" t="inlineStr">
        <is>
          <t>Anonymous (guest) session; storefront reachable at the configured BASE_URL (E2E_ENVIRONMENT / .env). No login needed. Adds an item to the guest cart only; no order is placed.</t>
        </is>
      </c>
      <c r="I41" s="25" t="inlineStr">
        <is>
          <t>Product: 풀 컬러 레터링 스티커 (/kr/stickers/transfer-sticker); colour swatch 풀 컬러; size 중형 75x75; quantity: 1</t>
        </is>
      </c>
      <c r="J41" s="25" t="inlineStr">
        <is>
          <t xml:space="preserve">1. Open /kr/stickers/transfer-sticker and check the H1 reads 풀 컬러 레터링 스티커.
2. Click the colour swatch whose tooltip reads 풀 컬러.
3. Click size 중형 75x75.
4. Click the quantity tier starting with 1 that shows a won price.
5. Check a price is shown and 다음 단계 is enabled.
6. Click 다음 단계; in the 디자인 파일 업로드 dialog click 장바구니 담기 (this product still has the older dialog, not the chooser).
7. Check the cart preview drawer.</t>
        </is>
      </c>
      <c r="K41" s="25" t="inlineStr">
        <is>
          <t>a won amount (e.g. "12,300원") is visible in the options panel; 다음 단계 is enabled; the 장바구니 미리보기 (cart preview) drawer opens and contains a line item named "풀 컬러 레터링 스티커" showing "수량: 1".</t>
        </is>
      </c>
      <c r="L41" s="13" t="inlineStr">
        <is>
          <t>Automated</t>
        </is>
      </c>
      <c r="M41" s="25" t="inlineStr">
        <is>
          <t>Production-safe</t>
        </is>
      </c>
      <c r="N41" s="25" t="inlineStr">
        <is>
          <t>-</t>
        </is>
      </c>
      <c r="O41" s="25" t="inlineStr">
        <is>
          <t>tests/e2e/storefront/configuration/sticker-sheet-and-lettering.spec.ts</t>
        </is>
      </c>
      <c r="P41" s="25" t="inlineStr">
        <is>
          <t>MS-CFG-025 full-color lettering (transfer) sticker supports color, size, and quantity selection through to cart</t>
        </is>
      </c>
      <c r="Q41" s="25" t="inlineStr">
        <is>
          <t>@regression @production @purchasing</t>
        </is>
      </c>
      <c r="R41" s="13" t="n">
        <v>1</v>
      </c>
      <c r="S41" s="25" t="inlineStr">
        <is>
          <t>The H1 read 풀 컬러 글자 커팅 스티커 from 2026-09-24 until early October 2026; it is back to 풀 컬러 레터링 스티커, matching the card and cart line. Despite the name, this is a plain size-and-quantity product with a design upload, not a live-text tool. There is no detailed section in test-case.md.</t>
        </is>
      </c>
      <c r="T41" s="14" t="inlineStr">
        <is>
          <t>Not Run</t>
        </is>
      </c>
      <c r="U41" s="15" t="n"/>
      <c r="V41" s="15" t="n"/>
      <c r="W41" s="15" t="n"/>
      <c r="X41" s="15" t="n"/>
      <c r="Y41" s="25" t="inlineStr">
        <is>
          <t>MS-V2-072</t>
        </is>
      </c>
    </row>
    <row r="42" ht="150" customHeight="1">
      <c r="A42" s="12" t="inlineStr">
        <is>
          <t>MS-CFG-026</t>
        </is>
      </c>
      <c r="B42" s="25" t="inlineStr">
        <is>
          <t>Storefront</t>
        </is>
      </c>
      <c r="C42" s="25" t="inlineStr">
        <is>
          <t>3. Product configuration</t>
        </is>
      </c>
      <c r="D42" s="25" t="inlineStr">
        <is>
          <t>Design studio</t>
        </is>
      </c>
      <c r="E42" s="25" t="inlineStr">
        <is>
          <t>다음 단계 opens the 어떻게 주문하시겠어요? chooser, offering three ways to order: with a design file, in the web design studio (5% extra discount), or file later.</t>
        </is>
      </c>
      <c r="F42" s="13" t="inlineStr">
        <is>
          <t>High</t>
        </is>
      </c>
      <c r="G42" s="25" t="inlineStr">
        <is>
          <t>Functional</t>
        </is>
      </c>
      <c r="H42" s="25" t="inlineStr">
        <is>
          <t>Anonymous (guest) session; storefront reachable at the configured BASE_URL (E2E_ENVIRONMENT / .env). No login needed. Nothing is added to the cart.</t>
        </is>
      </c>
      <c r="I42" s="25" t="inlineStr">
        <is>
          <t>Product: 자유형 조각스티커 (/kr/stickers/die-cut-sticker); size 중형 75x75; quantity 100.</t>
        </is>
      </c>
      <c r="J42" s="25" t="inlineStr">
        <is>
          <t xml:space="preserve">1. Open /kr/stickers/die-cut-sticker.
2. Select 중형 75x75 and the 100개 tier.
3. Click 다음 단계.</t>
        </is>
      </c>
      <c r="K42" s="25" t="inlineStr">
        <is>
          <t>A dialog "어떻게 주문하시겠어요?" opens. 파일 업로드하기 panel: dropzone lists "ai · psd · pdf · eps · tif · png · jpg", a + 파일 선택하기 button, a 기타 요청 사항 box and 파일로 주문하기. 간편하게 디자인하기 panel: badge "이 방법으로 주문하면 5% 추가 할인" and 스튜디오 이동. Below both: 이 단계를 건너뛰고 나중에 파일 보내기. No unexpected console/HTTP errors (guard fixture).</t>
        </is>
      </c>
      <c r="L42" s="13" t="inlineStr">
        <is>
          <t>Automated</t>
        </is>
      </c>
      <c r="M42" s="25" t="inlineStr">
        <is>
          <t>Production-safe</t>
        </is>
      </c>
      <c r="N42" s="25" t="inlineStr">
        <is>
          <t>-</t>
        </is>
      </c>
      <c r="O42" s="25" t="inlineStr">
        <is>
          <t>tests/e2e/storefront/configuration/design-studio.spec.ts</t>
        </is>
      </c>
      <c r="P42" s="25" t="inlineStr">
        <is>
          <t>MS-CFG-026 다음 단계 offers three ways to order: with a file, in the studio, or file later</t>
        </is>
      </c>
      <c r="Q42" s="25" t="inlineStr">
        <is>
          <t>@regression @production @purchasing</t>
        </is>
      </c>
      <c r="R42" s="13" t="n">
        <v>1</v>
      </c>
      <c r="S42" s="25" t="inlineStr">
        <is>
          <t>New in early October 2026; replaced the plain design-upload dialog (whose button was 장바구니 담기). Every control carries a product-category-upload-* test id.</t>
        </is>
      </c>
      <c r="T42" s="14" t="inlineStr">
        <is>
          <t>Not Run</t>
        </is>
      </c>
      <c r="U42" s="15" t="n"/>
      <c r="V42" s="15" t="n"/>
      <c r="W42" s="15" t="n"/>
      <c r="X42" s="15" t="n"/>
      <c r="Y42" s="25" t="inlineStr">
        <is>
          <t>MS-V2-115</t>
        </is>
      </c>
    </row>
    <row r="43" ht="150" customHeight="1">
      <c r="A43" s="12" t="inlineStr">
        <is>
          <t>MS-CFG-027</t>
        </is>
      </c>
      <c r="B43" s="25" t="inlineStr">
        <is>
          <t>Storefront</t>
        </is>
      </c>
      <c r="C43" s="25" t="inlineStr">
        <is>
          <t>3. Product configuration</t>
        </is>
      </c>
      <c r="D43" s="25" t="inlineStr">
        <is>
          <t>Design studio</t>
        </is>
      </c>
      <c r="E43" s="25" t="inlineStr">
        <is>
          <t>The design studio keeps the configured size and quantity and prices every quantity tier 5% below the configurator, rounded to 10원.</t>
        </is>
      </c>
      <c r="F43" s="13" t="inlineStr">
        <is>
          <t>High</t>
        </is>
      </c>
      <c r="G43" s="25" t="inlineStr">
        <is>
          <t>Data</t>
        </is>
      </c>
      <c r="H43" s="25" t="inlineStr">
        <is>
          <t>Anonymous (guest) session; storefront reachable at the configured BASE_URL (E2E_ENVIRONMENT / .env). No login needed. Nothing is added to the cart. The studio loads a background-removal model from huggingface.co (allowStudioModelLoadNoise).</t>
        </is>
      </c>
      <c r="I43" s="25" t="inlineStr">
        <is>
          <t>Product: 자유형 조각스티커; size 중형 75x75; quantity 100; tiers compared: 10, 100, 1,000.</t>
        </is>
      </c>
      <c r="J43" s="25" t="inlineStr">
        <is>
          <t xml:space="preserve">1. Open /kr/stickers/die-cut-sticker and select 중형 75x75.
2. Note the 10개, 100개 and 1,000개 tier prices.
3. Select 100개, click 다음 단계 and then 스튜디오 이동.
4. Read the studio's size, quantity and price.
5. Open the 사이즈/수량 tab and read the 10개 and 1,000개 tiers.</t>
        </is>
      </c>
      <c r="K43" s="25" t="inlineStr">
        <is>
          <t>The URL gains ?studio=1 and the studio opens (about 8 s). Width and height read 75 and 75, quantity 100개. Each studio price equals the configurator price x 0.95 rounded half-up to 10원 (e.g. 36,100원 -&gt; 34,300원, 6,600원 -&gt; 6,270원, 106,000원 -&gt; 100,700원). The panel labels it "스튜디오 주문 -5% 추가 할인".</t>
        </is>
      </c>
      <c r="L43" s="13" t="inlineStr">
        <is>
          <t>Automated</t>
        </is>
      </c>
      <c r="M43" s="25" t="inlineStr">
        <is>
          <t>Production-safe</t>
        </is>
      </c>
      <c r="N43" s="25" t="inlineStr">
        <is>
          <t>-</t>
        </is>
      </c>
      <c r="O43" s="25" t="inlineStr">
        <is>
          <t>tests/e2e/storefront/configuration/design-studio.spec.ts</t>
        </is>
      </c>
      <c r="P43" s="25" t="inlineStr">
        <is>
          <t>MS-CFG-027 the studio keeps the configured size and quantity and prices every tier 5% below the configurator</t>
        </is>
      </c>
      <c r="Q43" s="25" t="inlineStr">
        <is>
          <t>@regression @production @purchasing</t>
        </is>
      </c>
      <c r="R43" s="13" t="n">
        <v>1</v>
      </c>
      <c r="S43" s="25" t="inlineStr">
        <is>
          <t>Rounding verified across all eight die-cut tiers on static-1, 2026-10-14. Configurator prices are read only after the size re-quote lands (ProductV2Page.selectSize waits for it).</t>
        </is>
      </c>
      <c r="T43" s="14" t="inlineStr">
        <is>
          <t>Not Run</t>
        </is>
      </c>
      <c r="U43" s="15" t="n"/>
      <c r="V43" s="15" t="n"/>
      <c r="W43" s="15" t="n"/>
      <c r="X43" s="15" t="n"/>
      <c r="Y43" s="25" t="inlineStr">
        <is>
          <t>MS-V2-116</t>
        </is>
      </c>
    </row>
    <row r="44" ht="150" customHeight="1">
      <c r="A44" s="12" t="inlineStr">
        <is>
          <t>MS-CFG-028</t>
        </is>
      </c>
      <c r="B44" s="25" t="inlineStr">
        <is>
          <t>Storefront</t>
        </is>
      </c>
      <c r="C44" s="25" t="inlineStr">
        <is>
          <t>3. Product configuration</t>
        </is>
      </c>
      <c r="D44" s="25" t="inlineStr">
        <is>
          <t>Design studio</t>
        </is>
      </c>
      <c r="E44" s="25" t="inlineStr">
        <is>
          <t>The design studio refuses a low-resolution design (장바구니 담기 stays disabled, with a resolution warning) and accepts a print-quality one.</t>
        </is>
      </c>
      <c r="F44" s="13" t="inlineStr">
        <is>
          <t>Medium</t>
        </is>
      </c>
      <c r="G44" s="25" t="inlineStr">
        <is>
          <t>Validation</t>
        </is>
      </c>
      <c r="H44" s="25" t="inlineStr">
        <is>
          <t>Anonymous (guest) session; storefront reachable at the configured BASE_URL (E2E_ENVIRONMENT / .env). No login needed. Nothing is added to the cart. Attaching a design stays in the browser: no request is sent until the order is confirmed.</t>
        </is>
      </c>
      <c r="I44" s="25" t="inlineStr">
        <is>
          <t>Low resolution: tests/fixtures/files/qa-proof.png (200x200, about 57dpi at 75mm). Print quality: tests/fixtures/files/studio-design.png (1,200x1,200 transparent PNG, about 400dpi at 75mm). Size 중형 75x75, 100개.</t>
        </is>
      </c>
      <c r="J44" s="25" t="inlineStr">
        <is>
          <t xml:space="preserve">1. Open the studio for 자유형 조각스티커 at 중형 75x75 / 100개 (as MS-CFG-027).
2. Check 장바구니 담기 before attaching anything.
3. Click 이미지 첨부하기 and choose qa-proof.png.
4. Open a fresh studio the same way and attach studio-design.png.</t>
        </is>
      </c>
      <c r="K44" s="25" t="inlineStr">
        <is>
          <t>Step 2: 장바구니 담기 is disabled. Step 3: the design replaces the attach prompt, a warning "이미지 해상도 경고 — 유효 해상도 57dpi" ("해당 이미지는 해상도가 너무 낮아 인쇄가 불가능합니다 ...") appears and 장바구니 담기 stays disabled. Step 4: no resolution warning; 장바구니 담기 becomes enabled.</t>
        </is>
      </c>
      <c r="L44" s="13" t="inlineStr">
        <is>
          <t>Automated</t>
        </is>
      </c>
      <c r="M44" s="25" t="inlineStr">
        <is>
          <t>Production-safe</t>
        </is>
      </c>
      <c r="N44" s="25" t="inlineStr">
        <is>
          <t>-</t>
        </is>
      </c>
      <c r="O44" s="25" t="inlineStr">
        <is>
          <t>tests/e2e/storefront/configuration/design-studio.spec.ts</t>
        </is>
      </c>
      <c r="P44" s="25" t="inlineStr">
        <is>
          <t>MS-CFG-028 the studio refuses a low-resolution design and accepts a print-quality one</t>
        </is>
      </c>
      <c r="Q44" s="25" t="inlineStr">
        <is>
          <t>@regression @production @purchasing</t>
        </is>
      </c>
      <c r="R44" s="13" t="n">
        <v>1</v>
      </c>
      <c r="S44" s="25" t="inlineStr">
        <is>
          <t>sample-design.png (the file-upload fixture) is a 67-byte 1x1 PNG the browser cannot decode: the studio rejects it with "이미지 파일을 열 수 없습니다", hence the separate studio fixture.</t>
        </is>
      </c>
      <c r="T44" s="14" t="inlineStr">
        <is>
          <t>Not Run</t>
        </is>
      </c>
      <c r="U44" s="15" t="n"/>
      <c r="V44" s="15" t="n"/>
      <c r="W44" s="15" t="n"/>
      <c r="X44" s="15" t="n"/>
      <c r="Y44" s="25" t="inlineStr">
        <is>
          <t>MS-V2-117</t>
        </is>
      </c>
    </row>
    <row r="45" ht="150" customHeight="1">
      <c r="A45" s="12" t="inlineStr">
        <is>
          <t>MS-CFG-029</t>
        </is>
      </c>
      <c r="B45" s="25" t="inlineStr">
        <is>
          <t>Storefront</t>
        </is>
      </c>
      <c r="C45" s="25" t="inlineStr">
        <is>
          <t>3. Product configuration</t>
        </is>
      </c>
      <c r="D45" s="25" t="inlineStr">
        <is>
          <t>Design studio</t>
        </is>
      </c>
      <c r="E45" s="25" t="inlineStr">
        <is>
          <t>A design made in the studio goes through the 주문 준비 완료 confirmation into the cart at the studio price.</t>
        </is>
      </c>
      <c r="F45" s="13" t="inlineStr">
        <is>
          <t>High</t>
        </is>
      </c>
      <c r="G45" s="25" t="inlineStr">
        <is>
          <t>E2E</t>
        </is>
      </c>
      <c r="H45" s="25" t="inlineStr">
        <is>
          <t>Guest session on a dev server. Adds a line with an uploaded design to the guest cart.</t>
        </is>
      </c>
      <c r="I45" s="25" t="inlineStr">
        <is>
          <t>Product: 자유형 조각스티커, 중형 75x75, 100개; design studio-design.png.</t>
        </is>
      </c>
      <c r="J45" s="25" t="inlineStr">
        <is>
          <t xml:space="preserve">1. Open the studio with a print-quality design attached (MS-CFG-028 step 4).
2. Click 장바구니 담기.
3. In 주문 준비 완료, wait for the preview, look through the 미리보기 대상 scenes, choose 재단 방식 (통재단 / 도무송).
4. Tick 네, 확인했어요! and click 장바구니 담기.
5. Open /kr/cart.</t>
        </is>
      </c>
      <c r="K45" s="25" t="inlineStr">
        <is>
          <t>Step 3: the dialog shows the product, 재단 방식, 75 x 75 mm, 100개 and the studio price with "스튜디오 주문 -5% 추가 할인", and three things to confirm (색상, 컷팅선 ±1mm, 컷 종류). Step 4: 네, 확인했어요! enables 장바구니 담기; the line is added. Step 5: the cart row shows the design, 75x75mm, 100개 and the studio price.</t>
        </is>
      </c>
      <c r="L45" s="13" t="inlineStr">
        <is>
          <t>Planned</t>
        </is>
      </c>
      <c r="M45" s="25" t="inlineStr">
        <is>
          <t>Dev only</t>
        </is>
      </c>
      <c r="N45" s="25" t="inlineStr">
        <is>
          <t>-</t>
        </is>
      </c>
      <c r="O45" s="25" t="inlineStr">
        <is>
          <t>-</t>
        </is>
      </c>
      <c r="P45" s="25" t="inlineStr">
        <is>
          <t>-</t>
        </is>
      </c>
      <c r="Q45" s="25" t="inlineStr">
        <is>
          <t>-</t>
        </is>
      </c>
      <c r="R45" s="13" t="n">
        <v>0</v>
      </c>
      <c r="S45" s="25" t="inlineStr">
        <is>
          <t>Not automated: the confirmation stays locked until its preview renders, which took about 40 s in a headed browser and never finished headless within 30 s (MUS-QA-015). Run by hand; the final add-to-cart was not confirmed during exploration.</t>
        </is>
      </c>
      <c r="T45" s="14" t="inlineStr">
        <is>
          <t>Not Run</t>
        </is>
      </c>
      <c r="U45" s="15" t="n"/>
      <c r="V45" s="15" t="n"/>
      <c r="W45" s="15" t="n"/>
      <c r="X45" s="15" t="n"/>
      <c r="Y45" s="25" t="inlineStr">
        <is>
          <t>MS-V2-118</t>
        </is>
      </c>
    </row>
    <row r="46" ht="150" customHeight="1">
      <c r="A46" s="12" t="inlineStr">
        <is>
          <t>MS-SHT-001</t>
        </is>
      </c>
      <c r="B46" s="25" t="inlineStr">
        <is>
          <t>Storefront</t>
        </is>
      </c>
      <c r="C46" s="25" t="inlineStr">
        <is>
          <t>4. Sheet sticker size rules</t>
        </is>
      </c>
      <c r="D46" s="25" t="inlineStr">
        <is>
          <t>Sheet sticker size rules</t>
        </is>
      </c>
      <c r="E46" s="25" t="inlineStr">
        <is>
          <t>On every shaped sheet sticker, a custom size that fits only one sticker per sheet (123x123 mm) is rejected: error shown, every tier at 0원, 다음 단계 disabled.</t>
        </is>
      </c>
      <c r="F46" s="13" t="inlineStr">
        <is>
          <t>Critical</t>
        </is>
      </c>
      <c r="G46" s="25" t="inlineStr">
        <is>
          <t>Negative</t>
        </is>
      </c>
      <c r="H46" s="25" t="inlineStr">
        <is>
          <t>Anonymous (guest) session; storefront reachable at the configured BASE_URL (E2E_ENVIRONMENT / .env). No login needed. The storefront logs a "Size error:" console warning here; this is expected.</t>
        </is>
      </c>
      <c r="I46" s="25" t="inlineStr">
        <is>
          <t>Parameterized x5: 원형 판스티커 (circle-sheet), 타원형 판스티커 (oval-sheet), 정사각형 판스티커 (square-sheet), 직사각형 판스티커 (rectangle-sheet), 둥근 사각 판스티커 (rounded-sheet), all under /kr/sheet-stickers/. Custom size 123 x 123 mm. By the A5 formula, columns = floor(143/128) = 1 and rows = floor(205/128) = 1, so 1 sticker per sheet.</t>
        </is>
      </c>
      <c r="J46" s="25" t="inlineStr">
        <is>
          <t xml:space="preserve">1. Open the product page (e.g. /kr/sheet-stickers/circle-sheet) and check the H1.
2. Wait for the quantity tiers to show prices, then click 원하는 크기 입력.
3. Type 123 for width and 123 for height, then leave the field.
4. Check the error message and every quantity tier price.
5. Check 다음 단계.
6. Check the "1시트 = 스티커 N개" and "총 스티커 수량 : N개" readouts.</t>
        </is>
      </c>
      <c r="K46" s="25" t="inlineStr">
        <is>
          <t>A minimum-two-per-sheet error containing "한 시트에 최소 2개의 스티커" is visible. Every quantity tier price (.qty-pill-price in the quantity grid) reads exactly "0원". 다음 단계 is disabled. No "가로 Nmm × 세로 Nmm 이내로 작업해 주세요." message is shown. The readout shows "1시트 = 스티커 1개" and "총 스티커 수량 : 0개".</t>
        </is>
      </c>
      <c r="L46" s="13" t="inlineStr">
        <is>
          <t>Automated</t>
        </is>
      </c>
      <c r="M46" s="25" t="inlineStr">
        <is>
          <t>Production-safe</t>
        </is>
      </c>
      <c r="N46" s="25" t="inlineStr">
        <is>
          <t>-</t>
        </is>
      </c>
      <c r="O46" s="25" t="inlineStr">
        <is>
          <t>tests/e2e/storefront/sheet-size-rules/sheet-sticker-size-rules.spec.ts</t>
        </is>
      </c>
      <c r="P46" s="25" t="inlineStr">
        <is>
          <t>MS-SHT-001 원형 판스티커 rejects a custom size that fits only one sticker per sheet</t>
        </is>
      </c>
      <c r="Q46" s="25" t="inlineStr">
        <is>
          <t>@regression @production @purchasing</t>
        </is>
      </c>
      <c r="R46" s="13" t="n">
        <v>5</v>
      </c>
      <c r="S46" s="25" t="inlineStr">
        <is>
          <t>The minimum-two-per-sheet error is matched with the regex /한 시트에 최소 2개의 스티커/, the clause shared by both current wordings: the axis-specific line ("...들어가도록 세로 길이를 97mm 이하로 입력해 주세요.", on production since 2026-08-31, shown when only the height is over) and the original generic line ("더 작은 사이즈를 입력해 주세요. 한 시트에 최소 2개의 스티커가 들어가야 합니다.", shown when the width is over). test-case.md still quotes only the old generic literal. The old-literal assertions noted in memory have already been replaced in code by this shared-clause regex. Discrepancies with test-case.md: (1) test-case.md step 7 says the readouts fall back to the default 소형 preset values (20/100 or 24/120). The code now expects the rejected size's own values, 1 per sheet and 0 total; this changed on 2026-08-31. (2) test-case.md says these size-rule tests are not tagged @production and fail on production. The code is tagged @production (since 2026-08-28) and all tests pass on www.musticker.com. Having no separate max-work-area message is intended behavior.</t>
        </is>
      </c>
      <c r="T46" s="14" t="inlineStr">
        <is>
          <t>Not Run</t>
        </is>
      </c>
      <c r="U46" s="15" t="n"/>
      <c r="V46" s="15" t="n"/>
      <c r="W46" s="15" t="n"/>
      <c r="X46" s="15" t="n"/>
      <c r="Y46" s="25" t="inlineStr">
        <is>
          <t>MS-V2-073</t>
        </is>
      </c>
    </row>
    <row r="47" ht="150" customHeight="1">
      <c r="A47" s="12" t="inlineStr">
        <is>
          <t>MS-SHT-002</t>
        </is>
      </c>
      <c r="B47" s="25" t="inlineStr">
        <is>
          <t>Storefront</t>
        </is>
      </c>
      <c r="C47" s="25" t="inlineStr">
        <is>
          <t>4. Sheet sticker size rules</t>
        </is>
      </c>
      <c r="D47" s="25" t="inlineStr">
        <is>
          <t>Sheet sticker size rules</t>
        </is>
      </c>
      <c r="E47" s="25" t="inlineStr">
        <is>
          <t>On the circle sheet sticker, the 138x97 mm gate is exact: 138x97 can be ordered and 138x98 is rejected.</t>
        </is>
      </c>
      <c r="F47" s="13" t="inlineStr">
        <is>
          <t>High</t>
        </is>
      </c>
      <c r="G47" s="25" t="inlineStr">
        <is>
          <t>Boundary</t>
        </is>
      </c>
      <c r="H47" s="25" t="inlineStr">
        <is>
          <t>Anonymous (guest) session; storefront reachable at the configured BASE_URL (E2E_ENVIRONMENT / .env). No login needed.</t>
        </is>
      </c>
      <c r="I47" s="25" t="inlineStr">
        <is>
          <t>Product: 원형 판스티커 (/kr/sheet-stickers/circle-sheet). Largest allowed size 138 x 97 mm (1 column x 2 rows = 2 per sheet). Smallest blocked size 138 x 98 mm (1 x 1 = 1 per sheet).</t>
        </is>
      </c>
      <c r="J47" s="25" t="inlineStr">
        <is>
          <t xml:space="preserve">1. Open /kr/sheet-stickers/circle-sheet and check the H1 reads 원형 판스티커.
2. Click 원하는 크기 입력 and type 138 for width and 97 for height, then leave the field.
3. Check there is no error, the readout shows "1시트 = 스티커 2개", a price is shown, and 다음 단계 is enabled.
4. Change the size to 138 x 98 (height 98) and leave the field.
5. Check the error and 다음 단계.</t>
        </is>
      </c>
      <c r="K47" s="25" t="inlineStr">
        <is>
          <t>At 138x97, no text containing "한 시트에 최소 2개의 스티커" is present, the readout shows "1시트 = 스티커 2개", a won price is visible, and 다음 단계 is enabled. At 138x98, the minimum-two-per-sheet error is visible and 다음 단계 is disabled.</t>
        </is>
      </c>
      <c r="L47" s="13" t="inlineStr">
        <is>
          <t>Automated</t>
        </is>
      </c>
      <c r="M47" s="25" t="inlineStr">
        <is>
          <t>Production-safe</t>
        </is>
      </c>
      <c r="N47" s="25" t="inlineStr">
        <is>
          <t>-</t>
        </is>
      </c>
      <c r="O47" s="25" t="inlineStr">
        <is>
          <t>tests/e2e/storefront/sheet-size-rules/sheet-sticker-size-rules.spec.ts</t>
        </is>
      </c>
      <c r="P47" s="25" t="inlineStr">
        <is>
          <t>MS-SHT-002 circle sheet sticker: the 138x97 gate is exact</t>
        </is>
      </c>
      <c r="Q47" s="25" t="inlineStr">
        <is>
          <t>@regression @production @purchasing</t>
        </is>
      </c>
      <c r="R47" s="13" t="n">
        <v>1</v>
      </c>
      <c r="S47" s="25" t="inlineStr">
        <is>
          <t>The minimum-two-per-sheet error is matched with the regex /한 시트에 최소 2개의 스티커/, the clause shared by both current wordings: the axis-specific line ("...들어가도록 세로 길이를 97mm 이하로 입력해 주세요.", on production since 2026-08-31, shown when only the height is over) and the original generic line ("더 작은 사이즈를 입력해 주세요. 한 시트에 최소 2개의 스티커가 들어가야 합니다.", shown when the width is over). test-case.md still quotes only the old generic literal. The old-literal assertions noted in memory have already been replaced in code by this shared-clause regex. At 138x98 only the height is over, so the axis-specific wording is expected. test-case.md notes that the count readout falls back to the previous valid size after blocking; the code does not check any count after the blocked entry. test-case.md shows no @production tag for this ID, but the code has it.</t>
        </is>
      </c>
      <c r="T47" s="14" t="inlineStr">
        <is>
          <t>Not Run</t>
        </is>
      </c>
      <c r="U47" s="15" t="n"/>
      <c r="V47" s="15" t="n"/>
      <c r="W47" s="15" t="n"/>
      <c r="X47" s="15" t="n"/>
      <c r="Y47" s="25" t="inlineStr">
        <is>
          <t>MS-V2-074</t>
        </is>
      </c>
    </row>
    <row r="48" ht="150" customHeight="1">
      <c r="A48" s="12" t="inlineStr">
        <is>
          <t>MS-SHT-003</t>
        </is>
      </c>
      <c r="B48" s="25" t="inlineStr">
        <is>
          <t>Storefront</t>
        </is>
      </c>
      <c r="C48" s="25" t="inlineStr">
        <is>
          <t>4. Sheet sticker size rules</t>
        </is>
      </c>
      <c r="D48" s="25" t="inlineStr">
        <is>
          <t>Sheet sticker size rules</t>
        </is>
      </c>
      <c r="E48" s="25" t="inlineStr">
        <is>
          <t>Each shaped sheet sticker offers exactly its shape family's four size presets, and every preset fits at least two stickers per sheet and can be ordered.</t>
        </is>
      </c>
      <c r="F48" s="13" t="inlineStr">
        <is>
          <t>High</t>
        </is>
      </c>
      <c r="G48" s="25" t="inlineStr">
        <is>
          <t>Data</t>
        </is>
      </c>
      <c r="H48" s="25" t="inlineStr">
        <is>
          <t>Anonymous (guest) session; storefront reachable at the configured BASE_URL (E2E_ENVIRONMENT / .env). No login needed.</t>
        </is>
      </c>
      <c r="I48" s="25" t="inlineStr">
        <is>
          <t>Parameterized x5. Round family (원형 판스티커 circle-sheet, 정사각형 판스티커 square-sheet, 둥근 사각 판스티커 rounded-sheet): 소형 30x30 (20/sheet), 중형 50x50 (6), 대형 75x75 (2), 초대형 90x90 (2). Oblong family (타원형 판스티커 oval-sheet, 직사각형 판스티커 rectangle-sheet): 소형 40x20 (24/sheet), 중형 50x30 (10), 대형 75x50 (3), 초대형 90x60 (3). Per-sheet counts come from the A5 formula: floor(143/(W+5)) x floor(205/(H+5)).</t>
        </is>
      </c>
      <c r="J48" s="25" t="inlineStr">
        <is>
          <t xml:space="preserve">1. Open the product page (e.g. /kr/sheet-stickers/circle-sheet) and check the H1.
2. Check the size grid shows the four presets in order (name and dimensions) followed by the 원하는 크기 입력 pill.
3. Click the preset 소형.
4. Check there is no error, "1시트 = 스티커 N개" matches the formula, and 다음 단계 is enabled.
5. Repeat steps 3-4 for 중형, 대형 and 초대형.</t>
        </is>
      </c>
      <c r="K48" s="25" t="inlineStr">
        <is>
          <t>In the size grid (.option-grid-size), pill i has .size-pill-name equal to the preset label (소형/중형/대형/초대형) and .size-pill-dim equal to its dimensions (e.g. 30x30), and there are exactly 5 pills (4 presets + the custom pill). For each preset: no text containing "한 시트에 최소 2개의 스티커"; the readout "1시트 = 스티커 N개" equals the formula count (e.g. circle 20, 6, 2, 2); that count is at least 2; 다음 단계 is enabled.</t>
        </is>
      </c>
      <c r="L48" s="13" t="inlineStr">
        <is>
          <t>Automated</t>
        </is>
      </c>
      <c r="M48" s="25" t="inlineStr">
        <is>
          <t>Production-safe</t>
        </is>
      </c>
      <c r="N48" s="25" t="inlineStr">
        <is>
          <t>-</t>
        </is>
      </c>
      <c r="O48" s="25" t="inlineStr">
        <is>
          <t>tests/e2e/storefront/sheet-size-rules/sheet-sticker-size-rules.spec.ts</t>
        </is>
      </c>
      <c r="P48" s="25" t="inlineStr">
        <is>
          <t>MS-SHT-003 원형 판스티커 preset sizes match the shape family table and all fit at least two per sheet</t>
        </is>
      </c>
      <c r="Q48" s="25" t="inlineStr">
        <is>
          <t>@regression @production @purchasing</t>
        </is>
      </c>
      <c r="R48" s="13" t="n">
        <v>5</v>
      </c>
      <c r="S48" s="25" t="inlineStr">
        <is>
          <t>test-case.md and a comment in storefront-data.ts both say production still serves the older, wider preset tables (7 presets at 1 per sheet) and that this test fails there. The spec header says the narrowed tables reached production on 2026-08-28 and the test passes on www.musticker.com, which is why it now carries @production. The storefront-data.ts comment is out of date. test-case.md shows no @production tag. The "at least 2" check is a static check on the fixture formula; the live check is the rendered per-sheet readout.</t>
        </is>
      </c>
      <c r="T48" s="14" t="inlineStr">
        <is>
          <t>Not Run</t>
        </is>
      </c>
      <c r="U48" s="15" t="n"/>
      <c r="V48" s="15" t="n"/>
      <c r="W48" s="15" t="n"/>
      <c r="X48" s="15" t="n"/>
      <c r="Y48" s="25" t="inlineStr">
        <is>
          <t>MS-V2-075</t>
        </is>
      </c>
    </row>
    <row r="49" ht="150" customHeight="1">
      <c r="A49" s="12" t="inlineStr">
        <is>
          <t>MS-SHT-004</t>
        </is>
      </c>
      <c r="B49" s="25" t="inlineStr">
        <is>
          <t>Storefront</t>
        </is>
      </c>
      <c r="C49" s="25" t="inlineStr">
        <is>
          <t>4. Sheet sticker size rules</t>
        </is>
      </c>
      <c r="D49" s="25" t="inlineStr">
        <is>
          <t>Sheet sticker size rules</t>
        </is>
      </c>
      <c r="E49" s="25" t="inlineStr">
        <is>
          <t>Both cart edit dialogs (the drawer's 사이즈 및 수량 수정 and the cart page's 사이즈 변경) reject a 123x123 mm custom size and disable 업데이트.</t>
        </is>
      </c>
      <c r="F49" s="13" t="inlineStr">
        <is>
          <t>High</t>
        </is>
      </c>
      <c r="G49" s="25" t="inlineStr">
        <is>
          <t>Negative</t>
        </is>
      </c>
      <c r="H49" s="25" t="inlineStr">
        <is>
          <t>Anonymous (guest) session; storefront reachable at the configured BASE_URL (E2E_ENVIRONMENT / .env). No login needed. Adds an item to the guest cart only; no order is placed.</t>
        </is>
      </c>
      <c r="I49" s="25" t="inlineStr">
        <is>
          <t>Product: 원형 판스티커 (/kr/sheet-stickers/circle-sheet); material 무광 화이트; quantity 5 (sheets); blocked custom size 123 x 123 mm (1 per sheet)</t>
        </is>
      </c>
      <c r="J49" s="25" t="inlineStr">
        <is>
          <t xml:space="preserve">1. Open /kr/sheet-stickers/circle-sheet, click 무광 화이트 and the 10시트 quantity tier.
2. Click 다음 단계; in the 어떻게 주문하시겠어요? chooser click 이 단계를 건너뛰고 나중에 파일 보내기; the cart preview drawer opens.
3. Click the first item's edit control; in the 사이즈 및 수량 수정 dialog, open the size select, choose 맞춤 사이즈, and type 123 and 123 into the two size fields.
4. Check the error message and the 업데이트 button.
5. Reload the page, then open /kr/cart (heading 내 장바구니).
6. On the 원형 판스티커 row, click 사이즈 변경; open the size select, choose 맞춤 사이즈, and type 123 and 123.
7. Check the error message and the 업데이트 button.</t>
        </is>
      </c>
      <c r="K49" s="25" t="inlineStr">
        <is>
          <t>The cart preview drawer is visible. In the drawer edit dialog, the minimum-two-per-sheet error (containing "한 시트에 최소 2개의 스티커") is visible and 업데이트 is disabled. The /kr/cart page shows the heading "내 장바구니". In the 사이즈 변경 dialog, the same error is visible and 업데이트 is disabled.</t>
        </is>
      </c>
      <c r="L49" s="13" t="inlineStr">
        <is>
          <t>Automated</t>
        </is>
      </c>
      <c r="M49" s="25" t="inlineStr">
        <is>
          <t>Production-safe</t>
        </is>
      </c>
      <c r="N49" s="25" t="inlineStr">
        <is>
          <t>-</t>
        </is>
      </c>
      <c r="O49" s="25" t="inlineStr">
        <is>
          <t>tests/e2e/storefront/sheet-size-rules/sheet-sticker-size-rules.spec.ts</t>
        </is>
      </c>
      <c r="P49" s="25" t="inlineStr">
        <is>
          <t>MS-SHT-004 circle sheet sticker: both cart edit dialogs reject a one-per-sheet custom size</t>
        </is>
      </c>
      <c r="Q49" s="25" t="inlineStr">
        <is>
          <t>@regression @production @purchasing</t>
        </is>
      </c>
      <c r="R49" s="13" t="n">
        <v>1</v>
      </c>
      <c r="S49" s="25" t="inlineStr">
        <is>
          <t>The minimum-two-per-sheet error is matched with the regex /한 시트에 최소 2개의 스티커/, the clause shared by both current wordings: the axis-specific line ("...들어가도록 세로 길이를 97mm 이하로 입력해 주세요.", on production since 2026-08-31, shown when only the height is over) and the original generic line ("더 작은 사이즈를 입력해 주세요. 한 시트에 최소 2개의 스티커가 들어가야 합니다.", shown when the width is over). test-case.md still quotes only the old generic literal. The old-literal assertions noted in memory have already been replaced in code by this shared-clause regex. The cart dialogs label the custom option 맞춤 사이즈 inside a select list, not the product page's 원하는 크기 입력 pill, and their size fields (.cart-item-edit-inline-input) start pre-filled with the current size. test-case.md shows no @production tag for this ID, but the code has it. The default sheet material 무광 화이트 was labelled PVC 매트 until early October 2026. Uses 10시트, the smallest tier since early October 2026: 5시트 was dropped, and until the selector was fixed on 2026-10-14 asking for 5 silently picked 50시트.</t>
        </is>
      </c>
      <c r="T49" s="14" t="inlineStr">
        <is>
          <t>Not Run</t>
        </is>
      </c>
      <c r="U49" s="15" t="n"/>
      <c r="V49" s="15" t="n"/>
      <c r="W49" s="15" t="n"/>
      <c r="X49" s="15" t="n"/>
      <c r="Y49" s="25" t="inlineStr">
        <is>
          <t>MS-V2-076</t>
        </is>
      </c>
    </row>
    <row r="50" ht="150" customHeight="1">
      <c r="A50" s="12" t="inlineStr">
        <is>
          <t>MS-SHT-005</t>
        </is>
      </c>
      <c r="B50" s="25" t="inlineStr">
        <is>
          <t>Storefront</t>
        </is>
      </c>
      <c r="C50" s="25" t="inlineStr">
        <is>
          <t>4. Sheet sticker size rules</t>
        </is>
      </c>
      <c r="D50" s="25" t="inlineStr">
        <is>
          <t>Sheet sticker size rules</t>
        </is>
      </c>
      <c r="E50" s="25" t="inlineStr">
        <is>
          <t>The A5 배치 가이드 dialog on the circle sheet sticker rejects a 123x123 mm custom size and disables 적용하기.</t>
        </is>
      </c>
      <c r="F50" s="13" t="inlineStr">
        <is>
          <t>Medium</t>
        </is>
      </c>
      <c r="G50" s="25" t="inlineStr">
        <is>
          <t>Negative</t>
        </is>
      </c>
      <c r="H50" s="25" t="inlineStr">
        <is>
          <t>Anonymous (guest) session; storefront reachable at the configured BASE_URL (E2E_ENVIRONMENT / .env). No login needed.</t>
        </is>
      </c>
      <c r="I50" s="25" t="inlineStr">
        <is>
          <t>Product: 원형 판스티커 (/kr/sheet-stickers/circle-sheet); blocked custom size 123 x 123 mm</t>
        </is>
      </c>
      <c r="J50" s="25" t="inlineStr">
        <is>
          <t xml:space="preserve">1. Open /kr/sheet-stickers/circle-sheet and check the H1 reads 원형 판스티커.
2. Click 배치 가이드 보기; a dialog opens.
3. Click 직접 입력.
4. Type 123 in the width field (#sheet-width) and 123 in the height field (#sheet-height), then leave the field.
5. Check the dialog's error and the 적용하기 button.</t>
        </is>
      </c>
      <c r="K50" s="25" t="inlineStr">
        <is>
          <t>The size-guide dialog is visible; the width field appears after 직접 입력; the dialog shows the minimum-two-per-sheet error (containing "한 시트에 최소 2개의 스티커"); the 적용하기 button is disabled.</t>
        </is>
      </c>
      <c r="L50" s="13" t="inlineStr">
        <is>
          <t>Automated</t>
        </is>
      </c>
      <c r="M50" s="25" t="inlineStr">
        <is>
          <t>Production-safe</t>
        </is>
      </c>
      <c r="N50" s="25" t="inlineStr">
        <is>
          <t>-</t>
        </is>
      </c>
      <c r="O50" s="25" t="inlineStr">
        <is>
          <t>tests/e2e/storefront/sheet-size-rules/sheet-sticker-size-rules.spec.ts</t>
        </is>
      </c>
      <c r="P50" s="25" t="inlineStr">
        <is>
          <t>MS-SHT-005 circle sheet sticker: the A5 배치 가이드 modal rejects a one-per-sheet custom size</t>
        </is>
      </c>
      <c r="Q50" s="25" t="inlineStr">
        <is>
          <t>@regression @production @purchasing</t>
        </is>
      </c>
      <c r="R50" s="13" t="n">
        <v>1</v>
      </c>
      <c r="S50" s="25" t="inlineStr">
        <is>
          <t>The minimum-two-per-sheet error is matched with the regex /한 시트에 최소 2개의 스티커/, the clause shared by both current wordings: the axis-specific line ("...들어가도록 세로 길이를 97mm 이하로 입력해 주세요.", on production since 2026-08-31, shown when only the height is over) and the original generic line ("더 작은 사이즈를 입력해 주세요. 한 시트에 최소 2개의 스티커가 들어가야 합니다.", shown when the width is over). test-case.md still quotes only the old generic literal. The old-literal assertions noted in memory have already been replaced in code by this shared-clause regex. The code clicks 직접 입력 with force: true. test-case.md shows no @production tag for this ID, but the code has it.</t>
        </is>
      </c>
      <c r="T50" s="14" t="inlineStr">
        <is>
          <t>Not Run</t>
        </is>
      </c>
      <c r="U50" s="15" t="n"/>
      <c r="V50" s="15" t="n"/>
      <c r="W50" s="15" t="n"/>
      <c r="X50" s="15" t="n"/>
      <c r="Y50" s="25" t="inlineStr">
        <is>
          <t>MS-V2-077</t>
        </is>
      </c>
    </row>
    <row r="51" ht="150" customHeight="1">
      <c r="A51" s="12" t="inlineStr">
        <is>
          <t>MS-SHT-006</t>
        </is>
      </c>
      <c r="B51" s="25" t="inlineStr">
        <is>
          <t>Storefront</t>
        </is>
      </c>
      <c r="C51" s="25" t="inlineStr">
        <is>
          <t>4. Sheet sticker size rules</t>
        </is>
      </c>
      <c r="D51" s="25" t="inlineStr">
        <is>
          <t>Sheet sticker size rules</t>
        </is>
      </c>
      <c r="E51" s="25" t="inlineStr">
        <is>
          <t>On the circle sheet sticker, the per-sheet count shown for sizes around the gate matches the A5 layout formula, and only sizes packing 2 or more can be ordered.</t>
        </is>
      </c>
      <c r="F51" s="13" t="inlineStr">
        <is>
          <t>High</t>
        </is>
      </c>
      <c r="G51" s="25" t="inlineStr">
        <is>
          <t>Boundary</t>
        </is>
      </c>
      <c r="H51" s="25" t="inlineStr">
        <is>
          <t>Anonymous (guest) session; storefront reachable at the configured BASE_URL (E2E_ENVIRONMENT / .env). No login needed.</t>
        </is>
      </c>
      <c r="I51" s="25" t="inlineStr">
        <is>
          <t>Product: 원형 판스티커 (/kr/sheet-stickers/circle-sheet). Parameterized x11 (W x H mm -&gt; per sheet): allowed: 138x97 -&gt; 2, 97x97 -&gt; 2, 66x97 -&gt; 4, 67x97 -&gt; 2, 66x200 -&gt; 2 (allowed via the width axis); refused: 98x98 -&gt; 1, 138x98 -&gt; 1, 67x200 -&gt; 1, 123x123 -&gt; 1, 139x97 -&gt; 0, 200x300 -&gt; 0. Formula: columns = floor((148-5)/(W+5)), rows = floor((210-5)/(H+5)), per sheet = columns x rows; at least 2 is required.</t>
        </is>
      </c>
      <c r="J51" s="25" t="inlineStr">
        <is>
          <t xml:space="preserve">1. Open /kr/sheet-stickers/circle-sheet and check the H1 reads 원형 판스티커.
2. Click 원하는 크기 입력 and type the case's width and height, then leave the field.
3. For an allowed size: check there is no error, "1시트 = 스티커 N개" equals the expected count, a price is shown, and 다음 단계 is enabled.
4. For a refused size: check the error is shown, every quantity tier reads 0원, and 다음 단계 is disabled.</t>
        </is>
      </c>
      <c r="K51" s="25" t="inlineStr">
        <is>
          <t>Allowed sizes: no text containing "한 시트에 최소 2개의 스티커"; the readout "1시트 = 스티커 N개" shows exactly the expected N (2, 2, 4, 2, 2); a won price is visible; 다음 단계 is enabled. Refused sizes: the minimum-two-per-sheet error is visible; every quantity tier price reads "0원"; 다음 단계 is disabled. For refused sizes the count readout is not checked.</t>
        </is>
      </c>
      <c r="L51" s="13" t="inlineStr">
        <is>
          <t>Automated</t>
        </is>
      </c>
      <c r="M51" s="25" t="inlineStr">
        <is>
          <t>Production-safe</t>
        </is>
      </c>
      <c r="N51" s="25" t="inlineStr">
        <is>
          <t>-</t>
        </is>
      </c>
      <c r="O51" s="25" t="inlineStr">
        <is>
          <t>tests/e2e/storefront/sheet-size-rules/sheet-sticker-size-rules.spec.ts</t>
        </is>
      </c>
      <c r="P51" s="25" t="inlineStr">
        <is>
          <t>MS-SHT-006 circle sheet sticker: 138x97 packs 2 per sheet and is orderable</t>
        </is>
      </c>
      <c r="Q51" s="25" t="inlineStr">
        <is>
          <t>@regression @production @purchasing</t>
        </is>
      </c>
      <c r="R51" s="13" t="n">
        <v>11</v>
      </c>
      <c r="S51" s="25" t="inlineStr">
        <is>
          <t>The minimum-two-per-sheet error is matched with the regex /한 시트에 최소 2개의 스티커/, the clause shared by both current wordings: the axis-specific line ("...들어가도록 세로 길이를 97mm 이하로 입력해 주세요.", on production since 2026-08-31, shown when only the height is over) and the original generic line ("더 작은 사이즈를 입력해 주세요. 한 시트에 최소 2개의 스티커가 들어가야 합니다.", shown when the width is over). test-case.md still quotes only the old generic literal. The old-literal assertions noted in memory have already been replaced in code by this shared-clause regex. Both gate axes are covered: width (138 vs 139) and height (97 vs 98). test-case.md says rejected sizes fall back to the last valid size (the default 소형); since 2026-08-31 the readout reports the rejected size itself (see MS-SHT-001), but this test does not check counts for rejected sizes. test-case.md shows no @production tag for this ID, but the code has it.</t>
        </is>
      </c>
      <c r="T51" s="14" t="inlineStr">
        <is>
          <t>Not Run</t>
        </is>
      </c>
      <c r="U51" s="15" t="n"/>
      <c r="V51" s="15" t="n"/>
      <c r="W51" s="15" t="n"/>
      <c r="X51" s="15" t="n"/>
      <c r="Y51" s="25" t="inlineStr">
        <is>
          <t>MS-V2-078</t>
        </is>
      </c>
    </row>
    <row r="52" ht="150" customHeight="1">
      <c r="A52" s="12" t="inlineStr">
        <is>
          <t>MS-CRT-001</t>
        </is>
      </c>
      <c r="B52" s="25" t="inlineStr">
        <is>
          <t>Storefront</t>
        </is>
      </c>
      <c r="C52" s="25" t="inlineStr">
        <is>
          <t>5. Cart</t>
        </is>
      </c>
      <c r="D52" s="25" t="inlineStr">
        <is>
          <t>Cart lifecycle</t>
        </is>
      </c>
      <c r="E52" s="25" t="inlineStr">
        <is>
          <t>Removing the only line item from the cart drawer leaves a clean empty cart in the drawer, the header badge, and the full cart page.</t>
        </is>
      </c>
      <c r="F52" s="13" t="inlineStr">
        <is>
          <t>Critical</t>
        </is>
      </c>
      <c r="G52" s="25" t="inlineStr">
        <is>
          <t>Functional</t>
        </is>
      </c>
      <c r="H52" s="25" t="inlineStr">
        <is>
          <t>Anonymous (guest) session with an empty cart. Storefront reachable at BASE_URL (default https://www.musticker.com/kr).</t>
        </is>
      </c>
      <c r="I52" s="25" t="inlineStr">
        <is>
          <t>Product: 자유형 조각스티커 (/kr/stickers/die-cut-sticker), size 중형 75x75, quantity 100개.</t>
        </is>
      </c>
      <c r="J52" s="25" t="inlineStr">
        <is>
          <t xml:space="preserve">1. Open /kr/stickers/die-cut-sticker and confirm the 자유형 조각스티커 heading and options panel are shown.
2. Select size 중형 75x75 and the 100개 quantity tier; wait for the tier to show a non-zero price.
3. Click 다음 단계, then in the 어떻게 주문하시겠어요? chooser click 이 단계를 건너뛰고 나중에 파일 보내기.
4. Confirm the 장바구니 미리보기 drawer opens and the header cart badge reads 1.
5. In the drawer, click the line's delete control (상품 삭제) and confirm the removal if a confirm modal appears.
6. Check the drawer and the header cart badge.
7. Open /kr/cart.</t>
        </is>
      </c>
      <c r="K52" s="25" t="inlineStr">
        <is>
          <t>After step 5 the drawer holds one fewer line (0). The drawer shows 현재 장바구니가 비어 있습니다. (or at least its 장바구니 미리보기 heading). The header cart badge disappears (no count element). On /kr/cart the empty state (cart-page-empty-state) is visible, there are 0 cart rows, and the order summary block (cart-page-summary) is not rendered. Suite guard: no unexpected console errors or HTTP 4xx/5xx responses.</t>
        </is>
      </c>
      <c r="L52" s="13" t="inlineStr">
        <is>
          <t>Automated</t>
        </is>
      </c>
      <c r="M52" s="25" t="inlineStr">
        <is>
          <t>Production-safe</t>
        </is>
      </c>
      <c r="N52" s="25" t="inlineStr">
        <is>
          <t>-</t>
        </is>
      </c>
      <c r="O52" s="25" t="inlineStr">
        <is>
          <t>tests/e2e/storefront/cart/cart-lifecycle.spec.ts</t>
        </is>
      </c>
      <c r="P52" s="25" t="inlineStr">
        <is>
          <t>MS-CRT-001 removing the only line item leaves an empty cart, not a broken one</t>
        </is>
      </c>
      <c r="Q52" s="25" t="inlineStr">
        <is>
          <t>@regression @production @purchasing</t>
        </is>
      </c>
      <c r="R52" s="13" t="n">
        <v>1</v>
      </c>
      <c r="S52" s="25" t="inlineStr">
        <is>
          <t>The drawer's empty check is lenient: it passes on the empty-cart message or merely the 장바구니 미리보기 heading (or, if the drawer closed, just a visible header cart button); the real evidence is the missing badge and the cart page empty state. Add-to-cart goes through ProductV2Page.addToCart, which takes the 어떻게 주문하시겠어요? chooser's 이 단계를 건너뛰고 나중에 파일 보내기 (the chooser replaced the plain upload dialog in early October 2026). Creates only a guest cart; nothing to clean up.</t>
        </is>
      </c>
      <c r="T52" s="14" t="inlineStr">
        <is>
          <t>Not Run</t>
        </is>
      </c>
      <c r="U52" s="15" t="n"/>
      <c r="V52" s="15" t="n"/>
      <c r="W52" s="15" t="n"/>
      <c r="X52" s="15" t="n"/>
      <c r="Y52" s="25" t="inlineStr">
        <is>
          <t>MS-V2-100</t>
        </is>
      </c>
    </row>
    <row r="53" ht="150" customHeight="1">
      <c r="A53" s="12" t="inlineStr">
        <is>
          <t>MS-CRT-002</t>
        </is>
      </c>
      <c r="B53" s="25" t="inlineStr">
        <is>
          <t>Storefront</t>
        </is>
      </c>
      <c r="C53" s="25" t="inlineStr">
        <is>
          <t>5. Cart</t>
        </is>
      </c>
      <c r="D53" s="25" t="inlineStr">
        <is>
          <t>Cart lifecycle</t>
        </is>
      </c>
      <c r="E53" s="25" t="inlineStr">
        <is>
          <t>Two different products added to the cart appear as two lines whose prices add up to the cart total.</t>
        </is>
      </c>
      <c r="F53" s="13" t="inlineStr">
        <is>
          <t>Critical</t>
        </is>
      </c>
      <c r="G53" s="25" t="inlineStr">
        <is>
          <t>Functional</t>
        </is>
      </c>
      <c r="H53" s="25" t="inlineStr">
        <is>
          <t>Anonymous (guest) session with an empty cart.</t>
        </is>
      </c>
      <c r="I53" s="25" t="inlineStr">
        <is>
          <t>Line 1: 자유형 조각스티커 (/kr/stickers/die-cut-sticker), 중형 75x75, 100개. Line 2: 홀로그램 스티커 (/kr/stickers/hologram-sticker), 중형 75x75, 100개. Prices are read live from the quantity tier; no fixed amounts.</t>
        </is>
      </c>
      <c r="J53" s="25" t="inlineStr">
        <is>
          <t xml:space="preserve">1. Open /kr/stickers/die-cut-sticker, select 중형 75x75 and 100개, note the 100개 tier price, click 다음 단계 and in the 어떻게 주문하시겠어요? chooser click 이 단계를 건너뛰고 나중에 파일 보내기.
2. Confirm the drawer opens and the header badge reads 1.
3. Open /kr/stickers/hologram-sticker, select 중형 75x75 and 100개, note the tier price, and add to cart the same way.
4. Confirm the header badge reads 2 and the drawer lists both 자유형 조각스티커 and 홀로그램 스티커.
5. Click the drawer's 장바구니 보기 button.
6. On /kr/cart, compare the rows, the 주문하기 button count, and the summary total.</t>
        </is>
      </c>
      <c r="K53" s="25" t="inlineStr">
        <is>
          <t>Header badge 1 after the first add, 2 after the second. The drawer shows a line for each product. 장바구니 보기 routes to /kr/cart. The cart page shows exactly 2 rows and the summary's 주문하기 button reads 주문하기 (2). The summary total equals the sum of the two row prices, and equals the two quoted tier prices added together. Suite guard: no unexpected console errors or HTTP 4xx/5xx.</t>
        </is>
      </c>
      <c r="L53" s="13" t="inlineStr">
        <is>
          <t>Automated</t>
        </is>
      </c>
      <c r="M53" s="25" t="inlineStr">
        <is>
          <t>Production-safe</t>
        </is>
      </c>
      <c r="N53" s="25" t="inlineStr">
        <is>
          <t>-</t>
        </is>
      </c>
      <c r="O53" s="25" t="inlineStr">
        <is>
          <t>tests/e2e/storefront/cart/cart-lifecycle.spec.ts</t>
        </is>
      </c>
      <c r="P53" s="25" t="inlineStr">
        <is>
          <t>MS-CRT-002 two distinct products become two lines whose prices sum to the cart total</t>
        </is>
      </c>
      <c r="Q53" s="25" t="inlineStr">
        <is>
          <t>@regression @production @purchasing</t>
        </is>
      </c>
      <c r="R53" s="13" t="n">
        <v>1</v>
      </c>
      <c r="S53" s="25" t="inlineStr">
        <is>
          <t>The spec header cites 13,800원 + 18,700원 = 32,500원 from development-1 (2026-08-27); those figures predate the fixture quantity of 100개 and are not asserted, only the live sum is. Row price = the last won amount in each row's text. Since early October 2026 다음 단계 opens the 어떻게 주문하시겠어요? chooser (with a file / in the studio / file later); add-to-cart takes 이 단계를 건너뛰고 나중에 파일 보내기. Guest cart only; no cleanup.</t>
        </is>
      </c>
      <c r="T53" s="14" t="inlineStr">
        <is>
          <t>Not Run</t>
        </is>
      </c>
      <c r="U53" s="15" t="n"/>
      <c r="V53" s="15" t="n"/>
      <c r="W53" s="15" t="n"/>
      <c r="X53" s="15" t="n"/>
      <c r="Y53" s="25" t="inlineStr">
        <is>
          <t>MS-V2-101</t>
        </is>
      </c>
    </row>
    <row r="54" ht="150" customHeight="1">
      <c r="A54" s="12" t="inlineStr">
        <is>
          <t>MS-CRT-003</t>
        </is>
      </c>
      <c r="B54" s="25" t="inlineStr">
        <is>
          <t>Storefront</t>
        </is>
      </c>
      <c r="C54" s="25" t="inlineStr">
        <is>
          <t>5. Cart</t>
        </is>
      </c>
      <c r="D54" s="25" t="inlineStr">
        <is>
          <t>Cart lifecycle</t>
        </is>
      </c>
      <c r="E54" s="25" t="inlineStr">
        <is>
          <t>A guest cart survives a full browser reload with its single line and price intact.</t>
        </is>
      </c>
      <c r="F54" s="13" t="inlineStr">
        <is>
          <t>Critical</t>
        </is>
      </c>
      <c r="G54" s="25" t="inlineStr">
        <is>
          <t>Smoke</t>
        </is>
      </c>
      <c r="H54" s="25" t="inlineStr">
        <is>
          <t>Anonymous (guest) session with an empty cart.</t>
        </is>
      </c>
      <c r="I54" s="25" t="inlineStr">
        <is>
          <t>Product: 자유형 조각스티커 (/kr/stickers/die-cut-sticker), 중형 75x75, 100개; the quoted 100개 tier price is captured before adding.</t>
        </is>
      </c>
      <c r="J54" s="25" t="inlineStr">
        <is>
          <t xml:space="preserve">1. Open /kr/stickers/die-cut-sticker, select 중형 75x75 and 100개, and note the tier price.
2. Click 다음 단계 and in the 어떻게 주문하시겠어요? chooser click 이 단계를 건너뛰고 나중에 파일 보내기; confirm the drawer opens.
3. Confirm the header cart badge reads 1.
4. Do a full page reload (browser refresh, not in-app navigation).
5. Check the header cart badge again.
6. Open /kr/cart.</t>
        </is>
      </c>
      <c r="K54" s="25" t="inlineStr">
        <is>
          <t>After reload the header badge still reads 1. /kr/cart shows the 내 장바구니 heading, exactly 1 row, and that row's price equals the price quoted on the product page. Suite guard: no unexpected console errors or HTTP 4xx/5xx.</t>
        </is>
      </c>
      <c r="L54" s="13" t="inlineStr">
        <is>
          <t>Automated</t>
        </is>
      </c>
      <c r="M54" s="25" t="inlineStr">
        <is>
          <t>Production-safe</t>
        </is>
      </c>
      <c r="N54" s="25" t="inlineStr">
        <is>
          <t>-</t>
        </is>
      </c>
      <c r="O54" s="25" t="inlineStr">
        <is>
          <t>tests/e2e/storefront/cart/cart-lifecycle.spec.ts</t>
        </is>
      </c>
      <c r="P54" s="25" t="inlineStr">
        <is>
          <t>MS-CRT-003 a guest cart survives a full page reload @smoke</t>
        </is>
      </c>
      <c r="Q54" s="25" t="inlineStr">
        <is>
          <t>@regression @production @purchasing @smoke</t>
        </is>
      </c>
      <c r="R54" s="13" t="n">
        <v>1</v>
      </c>
      <c r="S54" s="25" t="inlineStr">
        <is>
          <t>Since early October 2026 다음 단계 opens the 어떻게 주문하시겠어요? chooser (with a file / in the studio / file later); add-to-cart takes 이 단계를 건너뛰고 나중에 파일 보내기. Guest cart only; no cleanup.</t>
        </is>
      </c>
      <c r="T54" s="14" t="inlineStr">
        <is>
          <t>Not Run</t>
        </is>
      </c>
      <c r="U54" s="15" t="n"/>
      <c r="V54" s="15" t="n"/>
      <c r="W54" s="15" t="n"/>
      <c r="X54" s="15" t="n"/>
      <c r="Y54" s="25" t="inlineStr">
        <is>
          <t>MS-V2-102</t>
        </is>
      </c>
    </row>
    <row r="55" ht="150" customHeight="1">
      <c r="A55" s="12" t="inlineStr">
        <is>
          <t>MS-CRT-004</t>
        </is>
      </c>
      <c r="B55" s="25" t="inlineStr">
        <is>
          <t>Storefront</t>
        </is>
      </c>
      <c r="C55" s="25" t="inlineStr">
        <is>
          <t>5. Cart</t>
        </is>
      </c>
      <c r="D55" s="25" t="inlineStr">
        <is>
          <t>Cart lifecycle</t>
        </is>
      </c>
      <c r="E55" s="25" t="inlineStr">
        <is>
          <t>The full cart page asks for confirmation before removing a line; cancelling keeps the line and confirming removes it.</t>
        </is>
      </c>
      <c r="F55" s="13" t="inlineStr">
        <is>
          <t>High</t>
        </is>
      </c>
      <c r="G55" s="25" t="inlineStr">
        <is>
          <t>Functional</t>
        </is>
      </c>
      <c r="H55" s="25" t="inlineStr">
        <is>
          <t>Anonymous (guest) session with an empty cart.</t>
        </is>
      </c>
      <c r="I55" s="25" t="inlineStr">
        <is>
          <t>Product: 자유형 조각스티커 (/kr/stickers/die-cut-sticker), 중형 75x75, 100개.</t>
        </is>
      </c>
      <c r="J55" s="25" t="inlineStr">
        <is>
          <t xml:space="preserve">1. Add 자유형 조각스티커 (중형 75x75, 100개) to the cart from /kr/stickers/die-cut-sticker via 다음 단계 and the add-to-cart dialog.
2. Open /kr/cart and confirm the 내 장바구니 heading and 1 row.
3. Click the row's bin/delete button.
4. In the confirm modal, click cancel.
5. Click the row's bin/delete button again.
6. In the confirm modal, click confirm.</t>
        </is>
      </c>
      <c r="K55" s="25" t="inlineStr">
        <is>
          <t>Step 3 opens the delete modal (cart-item-delete-modal) containing 장바구니에서 이 상품을 삭제하시겠습니까?. After cancel the modal closes, the row count is still 1 and the 자유형 조각스티커 row is still visible. After confirm the row count drops to 0 and the cart empty state is shown (cart-page-empty-state visible, 0 rows, no cart-page-summary). Suite guard: no unexpected console errors or HTTP 4xx/5xx.</t>
        </is>
      </c>
      <c r="L55" s="13" t="inlineStr">
        <is>
          <t>Automated</t>
        </is>
      </c>
      <c r="M55" s="25" t="inlineStr">
        <is>
          <t>Production-safe</t>
        </is>
      </c>
      <c r="N55" s="25" t="inlineStr">
        <is>
          <t>-</t>
        </is>
      </c>
      <c r="O55" s="25" t="inlineStr">
        <is>
          <t>tests/e2e/storefront/cart/cart-lifecycle.spec.ts</t>
        </is>
      </c>
      <c r="P55" s="25" t="inlineStr">
        <is>
          <t>MS-CRT-004 the cart page confirms a removal before acting on it</t>
        </is>
      </c>
      <c r="Q55" s="25" t="inlineStr">
        <is>
          <t>@regression @production @purchasing</t>
        </is>
      </c>
      <c r="R55" s="13" t="n">
        <v>1</v>
      </c>
      <c r="S55" s="25" t="inlineStr">
        <is>
          <t>Since early October 2026 다음 단계 opens the 어떻게 주문하시겠어요? chooser (with a file / in the studio / file later); add-to-cart takes 이 단계를 건너뛰고 나중에 파일 보내기. Guest cart only; the test itself empties it.</t>
        </is>
      </c>
      <c r="T55" s="14" t="inlineStr">
        <is>
          <t>Not Run</t>
        </is>
      </c>
      <c r="U55" s="15" t="n"/>
      <c r="V55" s="15" t="n"/>
      <c r="W55" s="15" t="n"/>
      <c r="X55" s="15" t="n"/>
      <c r="Y55" s="25" t="inlineStr">
        <is>
          <t>MS-V2-103</t>
        </is>
      </c>
    </row>
    <row r="56" ht="150" customHeight="1">
      <c r="A56" s="12" t="inlineStr">
        <is>
          <t>MS-CRT-005</t>
        </is>
      </c>
      <c r="B56" s="25" t="inlineStr">
        <is>
          <t>Storefront</t>
        </is>
      </c>
      <c r="C56" s="25" t="inlineStr">
        <is>
          <t>5. Cart</t>
        </is>
      </c>
      <c r="D56" s="25" t="inlineStr">
        <is>
          <t>Guest cart merge</t>
        </is>
      </c>
      <c r="E56" s="25" t="inlineStr">
        <is>
          <t>Items added to the cart as a guest are kept in the member's cart, at the same price, after logging in through the login form.</t>
        </is>
      </c>
      <c r="F56" s="13" t="inlineStr">
        <is>
          <t>Critical</t>
        </is>
      </c>
      <c r="G56" s="25" t="inlineStr">
        <is>
          <t>Integration</t>
        </is>
      </c>
      <c r="H56" s="25" t="inlineStr">
        <is>
          <t>Dev environment (not production). Seeded member account exists on that environment. Anonymous browser session at start. Test timeout 180 s.</t>
        </is>
      </c>
      <c r="I56" s="25" t="inlineStr">
        <is>
          <t>Guest line: 홀로그램 스티커 (/kr/stickers/hologram-sticker), 중형 75x75, 100개. Member: AUTH_TEST_EMAIL / AUTH_TEST_PASSWORD.</t>
        </is>
      </c>
      <c r="J56" s="25" t="inlineStr">
        <is>
          <t xml:space="preserve">1. As a guest, open /kr/stickers/hologram-sticker, select 중형 75x75 and 100개, note the tier price, click 다음 단계 and add to cart.
2. Confirm the drawer opens and the header badge reads 1.
3. Open /kr/auth/login and sign in with the seeded member's email and password.
4. Open /kr/cart.
5. Check the rows, the 홀로그램 스티커 row and its price, and the summary total.
6. Cleanup: delete the 홀로그램 스티커 row via its bin button and confirm the modal.</t>
        </is>
      </c>
      <c r="K56" s="25" t="inlineStr">
        <is>
          <t>Login shows the toast 로그인에 성공했습니다. The member cart has at least 1 row, a 홀로그램 스티커 row is visible, the list of row prices contains the guest price, and the summary total equals the sum of all row prices. After cleanup the row count is one less than after the merge. Suite guard: no unexpected console errors or HTTP 4xx/5xx (expected auth failures allowed).</t>
        </is>
      </c>
      <c r="L56" s="13" t="inlineStr">
        <is>
          <t>Automated</t>
        </is>
      </c>
      <c r="M56" s="25" t="inlineStr">
        <is>
          <t>Dev only</t>
        </is>
      </c>
      <c r="N56" s="25" t="inlineStr">
        <is>
          <t>AUTH_TEST_EMAIL/AUTH_TEST_PASSWORD; RUN_AUTH_DESTRUCTIVE_E2E=true</t>
        </is>
      </c>
      <c r="O56" s="25" t="inlineStr">
        <is>
          <t>tests/e2e/storefront/cart/guest-cart-merge.spec.ts</t>
        </is>
      </c>
      <c r="P56" s="25" t="inlineStr">
        <is>
          <t>MS-CRT-005 a guest cart is merged into the member cart on login</t>
        </is>
      </c>
      <c r="Q56" s="25" t="inlineStr">
        <is>
          <t>@regression @purchasing @credentialed @destructive @slow</t>
        </is>
      </c>
      <c r="R56" s="13" t="n">
        <v>1</v>
      </c>
      <c r="S56" s="25" t="inlineStr">
        <is>
          <t>Code defect: the cleanup is not in a finally/afterEach block, so if any assertion before step 6 fails the 홀로그램 스티커 line stays in the seeded member's real cart (the comment claims otherwise). Discrepancy: test-case.md says the merge is additive; the code does not compare against the member's pre-login cart, it only proves the guest line survived (at least 1 row, row present, price present). If the member already held a 홀로그램 스티커 line, the price check could pass on that line and cleanup could delete the member's own line instead. Deliberately not tagged @production. Logs in through the form (merge trigger), not a seeded session. Since early October 2026 다음 단계 opens the 어떻게 주문하시겠어요? chooser (with a file / in the studio / file later); add-to-cart takes 이 단계를 건너뛰고 나중에 파일 보내기.</t>
        </is>
      </c>
      <c r="T56" s="14" t="inlineStr">
        <is>
          <t>Not Run</t>
        </is>
      </c>
      <c r="U56" s="15" t="n"/>
      <c r="V56" s="15" t="n"/>
      <c r="W56" s="15" t="n"/>
      <c r="X56" s="15" t="n"/>
      <c r="Y56" s="25" t="inlineStr">
        <is>
          <t>MS-V2-104</t>
        </is>
      </c>
    </row>
    <row r="57" ht="150" customHeight="1">
      <c r="A57" s="12" t="inlineStr">
        <is>
          <t>MS-CRT-006</t>
        </is>
      </c>
      <c r="B57" s="25" t="inlineStr">
        <is>
          <t>Storefront</t>
        </is>
      </c>
      <c r="C57" s="25" t="inlineStr">
        <is>
          <t>5. Cart</t>
        </is>
      </c>
      <c r="D57" s="25" t="inlineStr">
        <is>
          <t>Cart lifecycle</t>
        </is>
      </c>
      <c r="E57" s="25" t="inlineStr">
        <is>
          <t>An empty cart page shows product links back into the catalog instead of a dead end.</t>
        </is>
      </c>
      <c r="F57" s="13" t="inlineStr">
        <is>
          <t>Medium</t>
        </is>
      </c>
      <c r="G57" s="25" t="inlineStr">
        <is>
          <t>UI</t>
        </is>
      </c>
      <c r="H57" s="25" t="inlineStr">
        <is>
          <t>Anonymous (guest) session with an empty cart.</t>
        </is>
      </c>
      <c r="I57" s="25" t="inlineStr">
        <is>
          <t>None (empty cart).</t>
        </is>
      </c>
      <c r="J57" s="25" t="inlineStr">
        <is>
          <t xml:space="preserve">1. Open /kr/cart directly with nothing in the cart.
2. Check the empty state.
3. Check for the featured die-cut sticker link and the discover circle sticker link.
4. Check whether the order summary block is shown.</t>
        </is>
      </c>
      <c r="K57" s="25" t="inlineStr">
        <is>
          <t>The empty state (cart-page-empty-state) is visible with 0 cart rows. The featured die-cut sticker link (cart-empty-featured-die-cut-sticker) and the discover circle sticker link (cart-empty-discover-circle-sticker) are visible. The order summary (cart-page-summary) is not rendered. Suite guard: no unexpected console errors or HTTP 4xx/5xx.</t>
        </is>
      </c>
      <c r="L57" s="13" t="inlineStr">
        <is>
          <t>Automated</t>
        </is>
      </c>
      <c r="M57" s="25" t="inlineStr">
        <is>
          <t>Production-safe</t>
        </is>
      </c>
      <c r="N57" s="25" t="inlineStr">
        <is>
          <t>-</t>
        </is>
      </c>
      <c r="O57" s="25" t="inlineStr">
        <is>
          <t>tests/e2e/storefront/cart/cart-lifecycle.spec.ts</t>
        </is>
      </c>
      <c r="P57" s="25" t="inlineStr">
        <is>
          <t>MS-CRT-006 an empty cart page offers a way back into the catalog</t>
        </is>
      </c>
      <c r="Q57" s="25" t="inlineStr">
        <is>
          <t>@regression @production</t>
        </is>
      </c>
      <c r="R57" s="13" t="n">
        <v>1</v>
      </c>
      <c r="S57" s="25" t="inlineStr">
        <is>
          <t>The empty state replaces the whole page including the 내 장바구니 heading (verified development-1), so the heading is intentionally not expected. Links are checked for visibility only, not clicked.</t>
        </is>
      </c>
      <c r="T57" s="14" t="inlineStr">
        <is>
          <t>Not Run</t>
        </is>
      </c>
      <c r="U57" s="15" t="n"/>
      <c r="V57" s="15" t="n"/>
      <c r="W57" s="15" t="n"/>
      <c r="X57" s="15" t="n"/>
      <c r="Y57" s="25" t="inlineStr">
        <is>
          <t>MS-V2-105</t>
        </is>
      </c>
    </row>
    <row r="58" ht="150" customHeight="1">
      <c r="A58" s="12" t="inlineStr">
        <is>
          <t>MS-CHK-001</t>
        </is>
      </c>
      <c r="B58" s="25" t="inlineStr">
        <is>
          <t>Storefront</t>
        </is>
      </c>
      <c r="C58" s="25" t="inlineStr">
        <is>
          <t>6. Checkout &amp; money path</t>
        </is>
      </c>
      <c r="D58" s="25" t="inlineStr">
        <is>
          <t>Guest checkout payment</t>
        </is>
      </c>
      <c r="E58" s="25" t="inlineStr">
        <is>
          <t>A guest can check out end to end with the KakaoPay sandbox (PayApp local mock), reach the order confirmation page and receive a 주문 안내 email carrying the order number.</t>
        </is>
      </c>
      <c r="F58" s="13" t="inlineStr">
        <is>
          <t>Critical</t>
        </is>
      </c>
      <c r="G58" s="25" t="inlineStr">
        <is>
          <t>E2E</t>
        </is>
      </c>
      <c r="H58" s="25" t="inlineStr">
        <is>
          <t>Dev sandbox environment with the PayApp — Local Mock KakaoPay gateway (verified on development-3 only). Never production (no sandbox payment there). Anonymous session with an empty cart. Internet access to api.mail.tm. Test timeout 120 s.</t>
        </is>
      </c>
      <c r="I58" s="25" t="inlineStr">
        <is>
          <t>Disposable inbox from mail.tm (musticker-e2e-&lt;timestamp&gt;-&lt;random&gt;@&lt;mail.tm domain&gt;). Product: 자유형 조각스티커, 중형 75x75, 100개. Shipping: 성함 테스트 사용자, 우편번호 06168, 전화 010-1234-5678, 시/도 서울특별시, 시/군/구 강남구, 주소 테헤란로 152, 상세 주소 101호. Payment: 카카오페이.</t>
        </is>
      </c>
      <c r="J58" s="25" t="inlineStr">
        <is>
          <t xml:space="preserve">1. Create a disposable mail.tm inbox.
2. Open /kr/stickers/die-cut-sticker, select 중형 75x75 and 100개, click 다음 단계 and choose 이 단계를 건너뛰고 나중에 파일 보내기 in the 어떻게 주문하시겠어요? chooser.
3. Open /kr/checkout (page shows 안전 결제).
4. Type the mail.tm address into the 이메일 주소를 입력해 주세요. field and leave the field; wait for the verification modal to open.
5. Read the OTP email (subject contains 인증) in the inbox, enter its 4-digit code in the modal and click 확인.
6. Fill name, postal code, phone (3 parts), 시/도, 시/군/구, 주소 and 상세 주소 with the test data.
7. Select 카카오페이, wait until the summary stops loading and 결제하기 is enabled, then click 결제하기.
8. In the PayApp — Local Mock popup click Complete card payment.
9. On the original tab check the confirmation page, then check the inbox for the order email.</t>
        </is>
      </c>
      <c r="K58" s="25" t="inlineStr">
        <is>
          <t>The OTP modal (.auth-verification-modal) opens within 20 s of leaving the email field and closes after 확인. 결제하기 opens a popup. After mock payment the tab lands on /checkout/confirmation showing 주문이 완료되었습니다! and an order number in the form AO-xxxx; the page contains 자유형 조각스티커 and 100개. An email whose subject contains 주문 안내 arrives within 60 s; its subject and body both contain the same order number. Suite guard: no unexpected console errors or HTTP 4xx/5xx.</t>
        </is>
      </c>
      <c r="L58" s="13" t="inlineStr">
        <is>
          <t>Automated</t>
        </is>
      </c>
      <c r="M58" s="25" t="inlineStr">
        <is>
          <t>Dev only</t>
        </is>
      </c>
      <c r="N58" s="25" t="inlineStr">
        <is>
          <t>RUN_PAYMENT_E2E=true (dev sandbox only); api.mail.tm reachable</t>
        </is>
      </c>
      <c r="O58" s="25" t="inlineStr">
        <is>
          <t>tests/e2e/storefront/checkout/guest-checkout-payment.spec.ts</t>
        </is>
      </c>
      <c r="P58" s="25" t="inlineStr">
        <is>
          <t>MS-CHK-001 guest checkout completes via the KakaoPay sandbox and sends an order-confirmation email</t>
        </is>
      </c>
      <c r="Q58" s="25" t="inlineStr">
        <is>
          <t>@e2e @destructive @slow @payment</t>
        </is>
      </c>
      <c r="R58" s="13" t="n">
        <v>1</v>
      </c>
      <c r="S58" s="25" t="inlineStr">
        <is>
          <t>Discrepancy with test-case.md: it describes register/login, uploading an artwork file, and cleanup of created data; the code is a guest checkout with no login, no file upload (the file step is skipped) and no cleanup. Every run creates a real (mock-paid) order on the dev environment that is not cancelled or deleted, and leaves the mail.tm inbox behind. Verified end to end on development-3 only (2026-08-13). On static-1 (dev-static-1) as of 2026-09-25: leaving the guest email field shows no OTP popup, so step 4 fails; the design-upload dialog has since become the 어떻게 주문하시겠어요? chooser, now also on production; and a Cloudflare bot check (거의 다 되었어요) before payment blocks automated browsers, so this flow must be run by hand there. development-4 product pages returned 500 on 2026-08-13 (not re-checked since).</t>
        </is>
      </c>
      <c r="T58" s="14" t="inlineStr">
        <is>
          <t>Not Run</t>
        </is>
      </c>
      <c r="U58" s="15" t="n"/>
      <c r="V58" s="15" t="n"/>
      <c r="W58" s="15" t="n"/>
      <c r="X58" s="15" t="n"/>
      <c r="Y58" s="25" t="inlineStr">
        <is>
          <t>MS-V2-025</t>
        </is>
      </c>
    </row>
    <row r="59" ht="150" customHeight="1">
      <c r="A59" s="12" t="inlineStr">
        <is>
          <t>MS-CHK-002</t>
        </is>
      </c>
      <c r="B59" s="25" t="inlineStr">
        <is>
          <t>Storefront</t>
        </is>
      </c>
      <c r="C59" s="25" t="inlineStr">
        <is>
          <t>6. Checkout &amp; money path</t>
        </is>
      </c>
      <c r="D59" s="25" t="inlineStr">
        <is>
          <t>Checkout page</t>
        </is>
      </c>
      <c r="E59" s="25" t="inlineStr">
        <is>
          <t>With an item in the cart, the checkout page shows contact/shipping fields, payment options, coupon copy and the pay button without anything being submitted.</t>
        </is>
      </c>
      <c r="F59" s="13" t="inlineStr">
        <is>
          <t>High</t>
        </is>
      </c>
      <c r="G59" s="25" t="inlineStr">
        <is>
          <t>UI</t>
        </is>
      </c>
      <c r="H59" s="25" t="inlineStr">
        <is>
          <t>Anonymous (guest) session. One item in the cart (added by the test).</t>
        </is>
      </c>
      <c r="I59" s="25" t="inlineStr">
        <is>
          <t>Product: 자유형 조각스티커 (/kr/stickers/die-cut-sticker), 중형 75x75, 100개.</t>
        </is>
      </c>
      <c r="J59" s="25" t="inlineStr">
        <is>
          <t xml:space="preserve">1. Open /kr/stickers/die-cut-sticker, select 중형 75x75 and 100개.
2. Click 다음 단계 and in the 어떻게 주문하시겠어요? chooser click 이 단계를 건너뛰고 나중에 파일 보내기.
3. Open /kr/checkout directly and wait for 안전 결제 to appear.
4. Inspect the contact, shipping, payment and summary areas. Do not click 결제하기.</t>
        </is>
      </c>
      <c r="K59" s="25" t="inlineStr">
        <is>
          <t>Visible fields: email (placeholder 이메일 주소를 입력해 주세요.), name (성함을 입력하세요), postal code (우편번호를 입력하세요). Payment buttons 카카오페이 and 신용카드 are visible. The page contains the text 쿠폰. The 결제하기 button is visible. Suite guard: no unexpected console errors or HTTP 4xx/5xx (guest checkout bootstrap 401s allowed).</t>
        </is>
      </c>
      <c r="L59" s="13" t="inlineStr">
        <is>
          <t>Automated</t>
        </is>
      </c>
      <c r="M59" s="25" t="inlineStr">
        <is>
          <t>Production-safe</t>
        </is>
      </c>
      <c r="N59" s="25" t="inlineStr">
        <is>
          <t>-</t>
        </is>
      </c>
      <c r="O59" s="25" t="inlineStr">
        <is>
          <t>tests/e2e/storefront/checkout/checkout-page.spec.ts</t>
        </is>
      </c>
      <c r="P59" s="25" t="inlineStr">
        <is>
          <t>MS-CHK-002 checkout page renders shipping, payment, and order summary without submitting</t>
        </is>
      </c>
      <c r="Q59" s="25" t="inlineStr">
        <is>
          <t>@regression @production</t>
        </is>
      </c>
      <c r="R59" s="13" t="n">
        <v>1</v>
      </c>
      <c r="S59" s="25" t="inlineStr">
        <is>
          <t>Discrepancy: test-case.md expects an order-summary coupon-discount line; the code only checks that the text 쿠폰 appears anywhere on the page. The add-to-cart result (drawer) is not verified. Checkout is opened by URL, not via the cart (an empty cart redirects /checkout to /cart). Since early October 2026 다음 단계 opens the 어떻게 주문하시겠어요? chooser (with a file / in the studio / file later); add-to-cart takes 이 단계를 건너뛰고 나중에 파일 보내기.</t>
        </is>
      </c>
      <c r="T59" s="14" t="inlineStr">
        <is>
          <t>Not Run</t>
        </is>
      </c>
      <c r="U59" s="15" t="n"/>
      <c r="V59" s="15" t="n"/>
      <c r="W59" s="15" t="n"/>
      <c r="X59" s="15" t="n"/>
      <c r="Y59" s="25" t="inlineStr">
        <is>
          <t>MS-V2-041</t>
        </is>
      </c>
    </row>
    <row r="60" ht="150" customHeight="1">
      <c r="A60" s="12" t="inlineStr">
        <is>
          <t>MS-CHK-003</t>
        </is>
      </c>
      <c r="B60" s="25" t="inlineStr">
        <is>
          <t>Storefront</t>
        </is>
      </c>
      <c r="C60" s="25" t="inlineStr">
        <is>
          <t>6. Checkout &amp; money path</t>
        </is>
      </c>
      <c r="D60" s="25" t="inlineStr">
        <is>
          <t>Checkout page</t>
        </is>
      </c>
      <c r="E60" s="25" t="inlineStr">
        <is>
          <t>Clicking 결제하기 with all contact and shipping fields blank keeps the shopper on checkout and sends no order or payment request.</t>
        </is>
      </c>
      <c r="F60" s="13" t="inlineStr">
        <is>
          <t>High</t>
        </is>
      </c>
      <c r="G60" s="25" t="inlineStr">
        <is>
          <t>Negative</t>
        </is>
      </c>
      <c r="H60" s="25" t="inlineStr">
        <is>
          <t>Anonymous (guest) session. One item in the cart (added by the test). Checkout fields left blank.</t>
        </is>
      </c>
      <c r="I60" s="25" t="inlineStr">
        <is>
          <t>Product: 자유형 조각스티커 (/kr/stickers/die-cut-sticker), 중형 75x75, 100개. All checkout fields empty.</t>
        </is>
      </c>
      <c r="J60" s="25" t="inlineStr">
        <is>
          <t xml:space="preserve">1. Add 자유형 조각스티커 (중형 75x75, 100개) to the cart via 다음 단계 and the add-to-cart dialog.
2. Open /kr/checkout and wait for 안전 결제.
3. Leave every field blank and click 결제하기.
4. Wait about 1 second and observe the page and network activity.</t>
        </is>
      </c>
      <c r="K60" s="25" t="inlineStr">
        <is>
          <t>URL stays on /kr/checkout, the 결제하기 button is still visible, and no non-GET request to /sys/kr/order/, /sys/kr/payment/ or /sys/kr/checkout/ is sent. Suite guard: no unexpected console errors or HTTP 4xx/5xx (guest checkout bootstrap 401s allowed).</t>
        </is>
      </c>
      <c r="L60" s="13" t="inlineStr">
        <is>
          <t>Automated</t>
        </is>
      </c>
      <c r="M60" s="25" t="inlineStr">
        <is>
          <t>Production-safe</t>
        </is>
      </c>
      <c r="N60" s="25" t="inlineStr">
        <is>
          <t>-</t>
        </is>
      </c>
      <c r="O60" s="25" t="inlineStr">
        <is>
          <t>tests/e2e/storefront/checkout/checkout-page.spec.ts</t>
        </is>
      </c>
      <c r="P60" s="25" t="inlineStr">
        <is>
          <t>MS-CHK-003 checkout blocks payment submission when required fields are blank</t>
        </is>
      </c>
      <c r="Q60" s="25" t="inlineStr">
        <is>
          <t>@regression @production</t>
        </is>
      </c>
      <c r="R60" s="13" t="n">
        <v>1</v>
      </c>
      <c r="S60" s="25" t="inlineStr">
        <is>
          <t>Discrepancy: test-case.md step 4 expects a validation/error indicator to become visible; the code asserts no message at all (the page always renders 14 mostly hidden .error-text nodes), only the unchanged URL, visible pay button and absence of mutating requests. Requests are only watched for a fixed 1 s wait after the click. Manual testers should also note whether field errors appear. Since early October 2026 다음 단계 opens the 어떻게 주문하시겠어요? chooser (with a file / in the studio / file later); add-to-cart takes 이 단계를 건너뛰고 나중에 파일 보내기.</t>
        </is>
      </c>
      <c r="T60" s="14" t="inlineStr">
        <is>
          <t>Not Run</t>
        </is>
      </c>
      <c r="U60" s="15" t="n"/>
      <c r="V60" s="15" t="n"/>
      <c r="W60" s="15" t="n"/>
      <c r="X60" s="15" t="n"/>
      <c r="Y60" s="25" t="inlineStr">
        <is>
          <t>MS-V2-042</t>
        </is>
      </c>
    </row>
    <row r="61" ht="150" customHeight="1">
      <c r="A61" s="12" t="inlineStr">
        <is>
          <t>MS-CHK-004</t>
        </is>
      </c>
      <c r="B61" s="25" t="inlineStr">
        <is>
          <t>Storefront</t>
        </is>
      </c>
      <c r="C61" s="25" t="inlineStr">
        <is>
          <t>6. Checkout &amp; money path</t>
        </is>
      </c>
      <c r="D61" s="25" t="inlineStr">
        <is>
          <t>Money path</t>
        </is>
      </c>
      <c r="E61" s="25" t="inlineStr">
        <is>
          <t>The price quoted on the product page is the same in the cart drawer, the cart page and the checkout 소계, and the checkout summary adds up.</t>
        </is>
      </c>
      <c r="F61" s="13" t="inlineStr">
        <is>
          <t>Critical</t>
        </is>
      </c>
      <c r="G61" s="25" t="inlineStr">
        <is>
          <t>Integration</t>
        </is>
      </c>
      <c r="H61" s="25" t="inlineStr">
        <is>
          <t>Anonymous (guest) session with an empty cart.</t>
        </is>
      </c>
      <c r="I61" s="25" t="inlineStr">
        <is>
          <t>Product: 자유형 조각스티커 (/kr/stickers/die-cut-sticker), 중형 75x75 (75x75 mm), 100개. Quoted price read live from the 100개 tier.</t>
        </is>
      </c>
      <c r="J61" s="25" t="inlineStr">
        <is>
          <t xml:space="preserve">1. Open /kr/stickers/die-cut-sticker, select 중형 75x75 and 100개, and note the 100개 tier price.
2. Click 다음 단계 and in the 어떻게 주문하시겠어요? chooser click 이 단계를 건너뛰고 나중에 파일 보내기.
3. In the open 장바구니 미리보기 drawer, check the line and the drawer total.
4. Click 장바구니 보기 and check the /kr/cart rows and total.
5. Click 주문하기 in the cart summary.
6. On /kr/checkout wait for the summary to finish loading and read 소계, 배송비, 포인트 할인, 쿠폰 할인 and 합계.</t>
        </is>
      </c>
      <c r="K61" s="25" t="inlineStr">
        <is>
          <t>The quoted price is greater than 0. The drawer line shows 자유형 조각스티커 with 사이즈: 75x75 and 수량: 100 (or Size/Quantity), and the drawer total equals the quoted price. The cart page shows the heading 내 장바구니, 1 row, 주문하기 (1), the row price equals the quoted price, and the cart total equals the row sum and the quoted price. 주문하기 leads to /kr/checkout. At checkout 소계 + 배송비 - (포인트 할인 + 쿠폰 할인) = 합계, 소계 equals the quoted price, and 합계 is not less than 소계. Suite guard: no unexpected console errors or HTTP 4xx/5xx.</t>
        </is>
      </c>
      <c r="L61" s="13" t="inlineStr">
        <is>
          <t>Automated</t>
        </is>
      </c>
      <c r="M61" s="25" t="inlineStr">
        <is>
          <t>Production-safe</t>
        </is>
      </c>
      <c r="N61" s="25" t="inlineStr">
        <is>
          <t>-</t>
        </is>
      </c>
      <c r="O61" s="25" t="inlineStr">
        <is>
          <t>tests/e2e/storefront/checkout/money-path.spec.ts</t>
        </is>
      </c>
      <c r="P61" s="25" t="inlineStr">
        <is>
          <t>MS-CHK-004 the quoted price survives product page, cart, and checkout unchanged</t>
        </is>
      </c>
      <c r="Q61" s="25" t="inlineStr">
        <is>
          <t>@regression @production @purchasing</t>
        </is>
      </c>
      <c r="R61" s="13" t="n">
        <v>1</v>
      </c>
      <c r="S61" s="25" t="inlineStr">
        <is>
          <t>The spec header quotes 30개 = 18,700원 and 18,700 + 3,000 = 21,700원 (development-1, 2026-08-27), but the fixture now uses 100개, so those amounts are stale; the test compares live values only. The checkout read fails if any of the rows 소계, 배송비, 포인트 할인, 쿠폰 할인, 합계 is missing. No order is placed. Since early October 2026 다음 단계 opens the 어떻게 주문하시겠어요? chooser (with a file / in the studio / file later); add-to-cart takes 이 단계를 건너뛰고 나중에 파일 보내기.</t>
        </is>
      </c>
      <c r="T61" s="14" t="inlineStr">
        <is>
          <t>Not Run</t>
        </is>
      </c>
      <c r="U61" s="15" t="n"/>
      <c r="V61" s="15" t="n"/>
      <c r="W61" s="15" t="n"/>
      <c r="X61" s="15" t="n"/>
      <c r="Y61" s="25" t="inlineStr">
        <is>
          <t>MS-V2-097</t>
        </is>
      </c>
    </row>
    <row r="62" ht="150" customHeight="1">
      <c r="A62" s="12" t="inlineStr">
        <is>
          <t>MS-CHK-005</t>
        </is>
      </c>
      <c r="B62" s="25" t="inlineStr">
        <is>
          <t>Storefront</t>
        </is>
      </c>
      <c r="C62" s="25" t="inlineStr">
        <is>
          <t>6. Checkout &amp; money path</t>
        </is>
      </c>
      <c r="D62" s="25" t="inlineStr">
        <is>
          <t>Money path</t>
        </is>
      </c>
      <c r="E62" s="25" t="inlineStr">
        <is>
          <t>An order below the 5만원 free-shipping threshold is charged a shipping fee at checkout.</t>
        </is>
      </c>
      <c r="F62" s="13" t="inlineStr">
        <is>
          <t>High</t>
        </is>
      </c>
      <c r="G62" s="25" t="inlineStr">
        <is>
          <t>Functional</t>
        </is>
      </c>
      <c r="H62" s="25" t="inlineStr">
        <is>
          <t>Anonymous (guest) session with an empty cart.</t>
        </is>
      </c>
      <c r="I62" s="25" t="inlineStr">
        <is>
          <t>Product: 자유형 조각스티커 (/kr/stickers/die-cut-sticker), 중형 75x75, 100개. Free-shipping threshold 50,000원.</t>
        </is>
      </c>
      <c r="J62" s="25" t="inlineStr">
        <is>
          <t xml:space="preserve">1. Open /kr/stickers/die-cut-sticker, select 중형 75x75 and 100개, and note the tier price.
2. Confirm the quoted price is below 50,000원 (test premise).
3. Click 다음 단계 and add to cart.
4. Open /kr/checkout directly and wait for the summary to finish loading.
5. Read 소계, 배송비, 포인트 할인, 쿠폰 할인 and 합계.</t>
        </is>
      </c>
      <c r="K62" s="25" t="inlineStr">
        <is>
          <t>Quoted price is below 50,000원 (otherwise the test fails, asking to lower the fixture quantity). The summary reconciles (소계 + 배송비 - discounts = 합계). 소계 equals the quoted price, 배송비 is greater than 0, and 합계 is greater than 소계. Suite guard: no unexpected console errors or HTTP 4xx/5xx.</t>
        </is>
      </c>
      <c r="L62" s="13" t="inlineStr">
        <is>
          <t>Automated</t>
        </is>
      </c>
      <c r="M62" s="25" t="inlineStr">
        <is>
          <t>Production-safe</t>
        </is>
      </c>
      <c r="N62" s="25" t="inlineStr">
        <is>
          <t>-</t>
        </is>
      </c>
      <c r="O62" s="25" t="inlineStr">
        <is>
          <t>tests/e2e/storefront/checkout/money-path.spec.ts</t>
        </is>
      </c>
      <c r="P62" s="25" t="inlineStr">
        <is>
          <t>MS-CHK-005 an order below the free-shipping threshold is charged shipping</t>
        </is>
      </c>
      <c r="Q62" s="25" t="inlineStr">
        <is>
          <t>@regression @production @purchasing</t>
        </is>
      </c>
      <c r="R62" s="13" t="n">
        <v>1</v>
      </c>
      <c r="S62" s="25" t="inlineStr">
        <is>
          <t>The exact fee is not asserted (3,000원 was observed on development-1 at a 32,500원 subtotal). No order is placed. Since early October 2026 다음 단계 opens the 어떻게 주문하시겠어요? chooser (with a file / in the studio / file later); add-to-cart takes 이 단계를 건너뛰고 나중에 파일 보내기.</t>
        </is>
      </c>
      <c r="T62" s="14" t="inlineStr">
        <is>
          <t>Not Run</t>
        </is>
      </c>
      <c r="U62" s="15" t="n"/>
      <c r="V62" s="15" t="n"/>
      <c r="W62" s="15" t="n"/>
      <c r="X62" s="15" t="n"/>
      <c r="Y62" s="25" t="inlineStr">
        <is>
          <t>MS-V2-098</t>
        </is>
      </c>
    </row>
    <row r="63" ht="150" customHeight="1">
      <c r="A63" s="12" t="inlineStr">
        <is>
          <t>MS-CHK-006</t>
        </is>
      </c>
      <c r="B63" s="25" t="inlineStr">
        <is>
          <t>Storefront</t>
        </is>
      </c>
      <c r="C63" s="25" t="inlineStr">
        <is>
          <t>6. Checkout &amp; money path</t>
        </is>
      </c>
      <c r="D63" s="25" t="inlineStr">
        <is>
          <t>Money path</t>
        </is>
      </c>
      <c r="E63" s="25" t="inlineStr">
        <is>
          <t>An order at or above the 5만원 free-shipping threshold ships free and its total equals its subtotal.</t>
        </is>
      </c>
      <c r="F63" s="13" t="inlineStr">
        <is>
          <t>High</t>
        </is>
      </c>
      <c r="G63" s="25" t="inlineStr">
        <is>
          <t>Functional</t>
        </is>
      </c>
      <c r="H63" s="25" t="inlineStr">
        <is>
          <t>Anonymous (guest) session with an empty cart.</t>
        </is>
      </c>
      <c r="I63" s="25" t="inlineStr">
        <is>
          <t>Product: 자유형 조각스티커 (/kr/stickers/die-cut-sticker), 중형 75x75, 1,000개. Free-shipping threshold 50,000원.</t>
        </is>
      </c>
      <c r="J63" s="25" t="inlineStr">
        <is>
          <t xml:space="preserve">1. Open /kr/stickers/die-cut-sticker, select 중형 75x75 and the 1,000개 tier, and note its price.
2. Confirm the quoted price is at least 50,000원 (test premise).
3. Click 다음 단계 and add to cart.
4. Open /kr/checkout directly and wait for the summary to finish loading.
5. Read 소계, 배송비, 포인트 할인, 쿠폰 할인 and 합계.</t>
        </is>
      </c>
      <c r="K63" s="25" t="inlineStr">
        <is>
          <t>Quoted price is at least 50,000원 (otherwise the test fails, asking to raise the quantity). The summary reconciles (소계 + 배송비 - discounts = 합계). 소계 equals the quoted price, 배송비 is 0원, and 합계 equals 소계. Suite guard: no unexpected console errors or HTTP 4xx/5xx.</t>
        </is>
      </c>
      <c r="L63" s="13" t="inlineStr">
        <is>
          <t>Automated</t>
        </is>
      </c>
      <c r="M63" s="25" t="inlineStr">
        <is>
          <t>Production-safe</t>
        </is>
      </c>
      <c r="N63" s="25" t="inlineStr">
        <is>
          <t>-</t>
        </is>
      </c>
      <c r="O63" s="25" t="inlineStr">
        <is>
          <t>tests/e2e/storefront/checkout/money-path.spec.ts</t>
        </is>
      </c>
      <c r="P63" s="25" t="inlineStr">
        <is>
          <t>MS-CHK-006 an order at or above the free-shipping threshold ships free</t>
        </is>
      </c>
      <c r="Q63" s="25" t="inlineStr">
        <is>
          <t>@regression @production @purchasing</t>
        </is>
      </c>
      <c r="R63" s="13" t="n">
        <v>1</v>
      </c>
      <c r="S63" s="25" t="inlineStr">
        <is>
          <t>Assumes no discounts apply (합계 must equal 소계); a guest with an automatic coupon would fail this. No order is placed. Since early October 2026 다음 단계 opens the 어떻게 주문하시겠어요? chooser (with a file / in the studio / file later); add-to-cart takes 이 단계를 건너뛰고 나중에 파일 보내기.</t>
        </is>
      </c>
      <c r="T63" s="14" t="inlineStr">
        <is>
          <t>Not Run</t>
        </is>
      </c>
      <c r="U63" s="15" t="n"/>
      <c r="V63" s="15" t="n"/>
      <c r="W63" s="15" t="n"/>
      <c r="X63" s="15" t="n"/>
      <c r="Y63" s="25" t="inlineStr">
        <is>
          <t>MS-V2-099</t>
        </is>
      </c>
    </row>
    <row r="64" ht="150" customHeight="1">
      <c r="A64" s="12" t="inlineStr">
        <is>
          <t>MS-PRC-INT-AREA</t>
        </is>
      </c>
      <c r="B64" s="25" t="inlineStr">
        <is>
          <t>Storefront</t>
        </is>
      </c>
      <c r="C64" s="25" t="inlineStr">
        <is>
          <t>7. Pricing</t>
        </is>
      </c>
      <c r="D64" s="25" t="inlineStr">
        <is>
          <t>Price interpolation</t>
        </is>
      </c>
      <c r="E64" s="25" t="inlineStr">
        <is>
          <t>An off-grid area strictly between two stored grid rows is priced by linear interpolation of the UNROUNDED bound totals, rounded once at the end.</t>
        </is>
      </c>
      <c r="F64" s="13" t="inlineStr">
        <is>
          <t>Critical</t>
        </is>
      </c>
      <c r="G64" s="25" t="inlineStr">
        <is>
          <t>Boundary</t>
        </is>
      </c>
      <c r="H64" s="25" t="inlineStr">
        <is>
          <t>E2E_ENVIRONMENT is in each product's csvSources (production covers all 20 products); pricing API reachable.</t>
        </is>
      </c>
      <c r="I64" s="25" t="inlineStr">
        <is>
          <t>For each product, 3 interval samples spread over the low, middle and high end of the grid (sampleIndices(areas-1, 3)); probe area = nearest integer to the interval midpoint that factors within a 4:1 aspect ratio; quantity = the middle rung of the ladder. Products covered (20, tests per product): die-cut-sticker (3); kiss-cut-sticker (3); circle-sticker (3); rectangle-sticker (3); square-sticker (3); oval-sticker (3); rounded-sticker (3); clear-sticker (3); hologram-sticker (3); vinyl-lettering (3); transfer-sticker (3); sticker-sheet (3); die-cut-roll (3); circle-roll (3); square-roll (3); rectangle-roll (3); rounded-roll (3); oval-roll (3); clear-roll (3); paper-roll (3). Sample probes: die-cut-sticker: area 760 (20x38) interpolates between 625 and 900 | area 154062 (317x486) interpolates between 152100 and 156025 | area 543000 (724x750) interpolates between 540000 and 546000 || clear-sticker: area 162 (9x18) interpolates between 100 and 225 | area 146311 (283x517) interpolates between 144400 and 148225 | area 543000 (724x750) interpolates between 540000 and 546000 || vinyl-lettering: area 1062 (18x59) interpolates between 900 and 1225 | area 120761 (197x613) interpolates between 119025 and 122500 | area 432313 (409x1057) interpolates between 429025 and 435600 || sticker-sheet: area 2760 (46x60) interpolates between 2500 and 3025 | area 187063 (283x661) interpolates between 184900 and 189225 | area 975312 (936x1042) interpolates between 950625 and 1000000 || die-cut-roll: area 312 (13x24) interpolates between 225 and 400 | area 16262 (94x173) interpolates between 15625 and 16900 | area 56112 (168x334) interpolates between 55225 and 57000.</t>
        </is>
      </c>
      <c r="J64" s="25" t="inlineStr">
        <is>
          <t xml:space="preserve">1. Pick two adjacent CSV grid rows (lower, upper) and an area between them, e.g. die-cut-sticker 760 (20x38) between 625 and 900.
2. GET quotation/&lt;slug&gt;?width=W&amp;height=H&amp;quantity=&lt;middle rung&gt;&amp;debug=1.
3. Check meta.schema.exact_dimension=false and schema.bounds base_areas = [lower, upper].
4. Check inbetween_src[qty].lower_bound_price / upper_bound_price equal rate x area x qty from the CSV, UNROUNDED (4 decimals).
5. Compute lowerTotal + (area-lower) x (upperTotal-lowerTotal)/(upper-lower), round to normalized_nr, compare with data.prices[qty].price.
6. Automated: npx playwright test tests/e2e/storefront/pricing/price-interpolation.spec.ts -g "interpolates between [0-9]+ and".</t>
        </is>
      </c>
      <c r="K64" s="25" t="inlineStr">
        <is>
          <t>The probe is not an exact grid row, it brackets exactly the two CSV rows, the trace bound totals are the unrounded CSV products, and the quoted total equals the recomputed interpolation. The two known falling intervals are checked separately, at the quantity each was confirmed at, as expected failures (test.fail): transfer-sticker 432313 (409x1057) qty 50 between 429025 and 435600, and vinyl-lettering 61258 (218x281) qty 100 between 60025 and 62500. They turn red when the backend interpolates correctly.</t>
        </is>
      </c>
      <c r="L64" s="13" t="inlineStr">
        <is>
          <t>Automated</t>
        </is>
      </c>
      <c r="M64" s="25" t="inlineStr">
        <is>
          <t>Production-safe</t>
        </is>
      </c>
      <c r="N64" s="25" t="inlineStr">
        <is>
          <t>None (public read-only API). Runs only for products whose csvSources include the active environment; otherwise one skipped placeholder per product.</t>
        </is>
      </c>
      <c r="O64" s="25" t="inlineStr">
        <is>
          <t>tests/e2e/storefront/pricing/price-interpolation.spec.ts</t>
        </is>
      </c>
      <c r="P64" s="25" t="inlineStr">
        <is>
          <t>MS-PRC-INT-&lt;slug&gt; area &lt;area&gt; (&lt;W&gt;x&lt;H&gt;) interpolates between &lt;lower&gt; and &lt;upper&gt;</t>
        </is>
      </c>
      <c r="Q64" s="25" t="inlineStr">
        <is>
          <t>@api @pricing @regression</t>
        </is>
      </c>
      <c r="R64" s="13" t="n">
        <v>62</v>
      </c>
      <c r="S64" s="25" t="inlineStr">
        <is>
          <t>Price-per-environment registry: tests/fixtures/pricing/pricing-products.ts keys pricingIds by E2E_ENVIRONMENT because the table ids differ AND collide across servers (e.g. id 34 is the no-material sticker-sheet table on static-2 but the PVC table on production). csvSources lists the environments a CSV is a valid rate baseline for; elsewhere the cell/interpolation tests skip with the reason, and an environment with no recorded id skips everything as "unmapped". Rounding: line total = round(price_per_mm x area x quantity, normalized_nr) (100 KRW; 10 KRW for sticker-sheet). Fractional per-unit won prices (e.g. "1매당 8.582원") are accepted business behaviour confirmed with Korean staff, NOT a defect -- only line totals are whole multiples of normalized_nr. Pricing API sits behind the WAF: sporadic HTTP 403 / 502-504 are retried by fetchQuotation (2/4/8/15 s ladder) and, if exhausted, are throttling or gateway availability, not a pricing regression. Counts are from `npx playwright test tests/e2e/storefront/pricing --list` with E2E_ENVIRONMENT=production (2,286 tests in 3 files). Interpolation-by-area; KNOWN_FALLING_PRICE_INTERVALS applies. KNOWN_FALLING_PRICE_INTERVALS (top of price-interpolation.spec.ts): transfer-sticker areas 429025-435600 and vinyl-lettering areas 60025-62500. The API interpolates on the magnitude, not the sign, of the bound price gap, so where the line total falls as area grows it overshoots BOTH bounds (production 2026-08-25: transfer-sticker 432313 mm2 qty 50 quoted 2,087,300 vs correct 2,036,100 = 51,200 KRW overcharge). The reached transfer-sticker interval is marked test.fail(): it passes while the defect is open and turns red once the backend is fixed (then delete the entry). The vinyl-lettering interval is not currently reached by the sampleIndices walk. Tracked bug, not test debt. Pinned on 2026-10-14: the lettering ladder grew from 8 to 13 rungs, which moved the walk's quantity from 50 to 200 where the intervals do not fall, and the walk's test.fail() passed unexpectedly while transfer-sticker 409x1057 / 50 was still quoted 2,087,300 (correct 2,036,100) and vinyl-lettering 200x305 / 100 614,900 (correct 613,700).</t>
        </is>
      </c>
      <c r="T64" s="14" t="inlineStr">
        <is>
          <t>Not Run</t>
        </is>
      </c>
      <c r="U64" s="15" t="n"/>
      <c r="V64" s="15" t="n"/>
      <c r="W64" s="15" t="n"/>
      <c r="X64" s="15" t="n"/>
      <c r="Y64" s="25"/>
    </row>
    <row r="65" ht="150" customHeight="1">
      <c r="A65" s="12" t="inlineStr">
        <is>
          <t>MS-PRC-INT-HIGH</t>
        </is>
      </c>
      <c r="B65" s="25" t="inlineStr">
        <is>
          <t>Storefront</t>
        </is>
      </c>
      <c r="C65" s="25" t="inlineStr">
        <is>
          <t>7. Pricing</t>
        </is>
      </c>
      <c r="D65" s="25" t="inlineStr">
        <is>
          <t>Price interpolation</t>
        </is>
      </c>
      <c r="E65" s="25" t="inlineStr">
        <is>
          <t>The largest grid row a table declares is quoted exactly from the CSV at both the first and the last quantity rung.</t>
        </is>
      </c>
      <c r="F65" s="13" t="inlineStr">
        <is>
          <t>High</t>
        </is>
      </c>
      <c r="G65" s="25" t="inlineStr">
        <is>
          <t>Boundary</t>
        </is>
      </c>
      <c r="H65" s="25" t="inlineStr">
        <is>
          <t>E2E_ENVIRONMENT is in each product's csvSources (production covers all 20 products); pricing API reachable.</t>
        </is>
      </c>
      <c r="I65" s="25" t="inlineStr">
        <is>
          <t>Per product: CSV last area (546000 = 728x750 for stickers, 435600 = 660x660 lettering/transfer, 1000000 = 1000x1000 sticker-sheet, 57000 = 228x250 rolls) at the first and last rung. Products covered (20, tests per product): die-cut-sticker (1); kiss-cut-sticker (1); circle-sticker (1); rectangle-sticker (1); square-sticker (1); oval-sticker (1); rounded-sticker (1); clear-sticker (1); hologram-sticker (1); vinyl-lettering (1); transfer-sticker (1); sticker-sheet (1); die-cut-roll (1); circle-roll (1); square-roll (1); rectangle-roll (1); rounded-roll (1); oval-roll (1); clear-roll (1); paper-roll (1). Sample probes: die-cut-sticker: highest grid row 546000 (728x750) prices from the CSV || clear-sticker: highest grid row 546000 (728x750) prices from the CSV || vinyl-lettering: highest grid row 435600 (660x660) prices from the CSV || sticker-sheet: highest grid row 1000000 (1000x1000) prices from the CSV || die-cut-roll: highest grid row 57000 (228x250) prices from the CSV.</t>
        </is>
      </c>
      <c r="J65" s="25" t="inlineStr">
        <is>
          <t xml:space="preserve">1. Probe the CSV highest area as its most-square dimensions.
2. GET quotation/&lt;slug&gt; at the first rung, then at the last rung.
3. Compute round(rate x area x qty, normalized_nr) from the CSV and compare.
4. Automated: npx playwright test tests/e2e/storefront/pricing/price-interpolation.spec.ts -g "highest grid row".</t>
        </is>
      </c>
      <c r="K65" s="25" t="inlineStr">
        <is>
          <t>Both quoted totals equal the CSV-computed exact total.</t>
        </is>
      </c>
      <c r="L65" s="13" t="inlineStr">
        <is>
          <t>Automated</t>
        </is>
      </c>
      <c r="M65" s="25" t="inlineStr">
        <is>
          <t>Production-safe</t>
        </is>
      </c>
      <c r="N65" s="25" t="inlineStr">
        <is>
          <t>None (public read-only API). Runs only for products whose csvSources include the active environment; otherwise one skipped placeholder per product.</t>
        </is>
      </c>
      <c r="O65" s="25" t="inlineStr">
        <is>
          <t>tests/e2e/storefront/pricing/price-interpolation.spec.ts</t>
        </is>
      </c>
      <c r="P65" s="25" t="inlineStr">
        <is>
          <t>MS-PRC-INT-&lt;slug&gt; highest grid row &lt;area&gt; (&lt;W&gt;x&lt;H&gt;) prices from the CSV</t>
        </is>
      </c>
      <c r="Q65" s="25" t="inlineStr">
        <is>
          <t>@api @pricing @regression</t>
        </is>
      </c>
      <c r="R65" s="13" t="n">
        <v>20</v>
      </c>
      <c r="S65" s="25" t="inlineStr">
        <is>
          <t>Price-per-environment registry: tests/fixtures/pricing/pricing-products.ts keys pricingIds by E2E_ENVIRONMENT because the table ids differ AND collide across servers (e.g. id 34 is the no-material sticker-sheet table on static-2 but the PVC table on production). csvSources lists the environments a CSV is a valid rate baseline for; elsewhere the cell/interpolation tests skip with the reason, and an environment with no recorded id skips everything as "unmapped". Rounding: line total = round(price_per_mm x area x quantity, normalized_nr) (100 KRW; 10 KRW for sticker-sheet). Fractional per-unit won prices (e.g. "1매당 8.582원") are accepted business behaviour confirmed with Korean staff, NOT a defect -- only line totals are whole multiples of normalized_nr. Pricing API sits behind the WAF: sporadic HTTP 403 / 502-504 are retried by fetchQuotation (2/4/8/15 s ladder) and, if exhausted, are throttling or gateway availability, not a pricing regression. Counts are from `npx playwright test tests/e2e/storefront/pricing --list` with E2E_ENVIRONMENT=production (2,286 tests in 3 files).</t>
        </is>
      </c>
      <c r="T65" s="14" t="inlineStr">
        <is>
          <t>Not Run</t>
        </is>
      </c>
      <c r="U65" s="15" t="n"/>
      <c r="V65" s="15" t="n"/>
      <c r="W65" s="15" t="n"/>
      <c r="X65" s="15" t="n"/>
      <c r="Y65" s="25"/>
    </row>
    <row r="66" ht="150" customHeight="1">
      <c r="A66" s="12" t="inlineStr">
        <is>
          <t>MS-PRC-INT-LOW</t>
        </is>
      </c>
      <c r="B66" s="25" t="inlineStr">
        <is>
          <t>Storefront</t>
        </is>
      </c>
      <c r="C66" s="25" t="inlineStr">
        <is>
          <t>7. Pricing</t>
        </is>
      </c>
      <c r="D66" s="25" t="inlineStr">
        <is>
          <t>Price interpolation</t>
        </is>
      </c>
      <c r="E66" s="25" t="inlineStr">
        <is>
          <t>The smallest grid row a table declares is quoted exactly from the CSV at both the first and the last quantity rung.</t>
        </is>
      </c>
      <c r="F66" s="13" t="inlineStr">
        <is>
          <t>High</t>
        </is>
      </c>
      <c r="G66" s="25" t="inlineStr">
        <is>
          <t>Boundary</t>
        </is>
      </c>
      <c r="H66" s="25" t="inlineStr">
        <is>
          <t>E2E_ENVIRONMENT is in each product's csvSources (production covers all 20 products); pricing API reachable.</t>
        </is>
      </c>
      <c r="I66" s="25" t="inlineStr">
        <is>
          <t>Per product: CSV first area (625 die-cut/kiss-cut/shapes, 100 clear/hologram, 900 vinyl-lettering/transfer, 2500 sticker-sheet, 225 rolls) at the first and last rung (10 and 100,000 for stickers/rolls; 1 and 300 for lettering/transfer; 10 and 10,000 for sticker-sheet). Products covered (20, tests per product): die-cut-sticker (1); kiss-cut-sticker (1); circle-sticker (1); rectangle-sticker (1); square-sticker (1); oval-sticker (1); rounded-sticker (1); clear-sticker (1); hologram-sticker (1); vinyl-lettering (1); transfer-sticker (1); sticker-sheet (1); die-cut-roll (1); circle-roll (1); square-roll (1); rectangle-roll (1); rounded-roll (1); oval-roll (1); clear-roll (1); paper-roll (1). Sample probes: die-cut-sticker: lowest grid row 625 (25x25) prices from the CSV || clear-sticker: lowest grid row 100 (10x10) prices from the CSV || vinyl-lettering: lowest grid row 900 (30x30) prices from the CSV || sticker-sheet: lowest grid row 2500 (50x50) prices from the CSV || die-cut-roll: lowest grid row 225 (15x15) prices from the CSV.</t>
        </is>
      </c>
      <c r="J66" s="25" t="inlineStr">
        <is>
          <t xml:space="preserve">1. Probe the CSV lowest area as its most-square dimensions.
2. GET quotation/&lt;slug&gt; at the first rung, then at the last rung.
3. Compute round(rate x area x qty, normalized_nr) from the CSV and compare.
4. Automated: npx playwright test tests/e2e/storefront/pricing/price-interpolation.spec.ts -g "lowest grid row".</t>
        </is>
      </c>
      <c r="K66" s="25" t="inlineStr">
        <is>
          <t>Both quoted totals equal the CSV-computed exact total (soft asserts, both quantities reported).</t>
        </is>
      </c>
      <c r="L66" s="13" t="inlineStr">
        <is>
          <t>Automated</t>
        </is>
      </c>
      <c r="M66" s="25" t="inlineStr">
        <is>
          <t>Production-safe</t>
        </is>
      </c>
      <c r="N66" s="25" t="inlineStr">
        <is>
          <t>None (public read-only API). Runs only for products whose csvSources include the active environment; otherwise one skipped placeholder per product.</t>
        </is>
      </c>
      <c r="O66" s="25" t="inlineStr">
        <is>
          <t>tests/e2e/storefront/pricing/price-interpolation.spec.ts</t>
        </is>
      </c>
      <c r="P66" s="25" t="inlineStr">
        <is>
          <t>MS-PRC-INT-&lt;slug&gt; lowest grid row &lt;area&gt; (&lt;W&gt;x&lt;H&gt;) prices from the CSV</t>
        </is>
      </c>
      <c r="Q66" s="25" t="inlineStr">
        <is>
          <t>@api @pricing @regression</t>
        </is>
      </c>
      <c r="R66" s="13" t="n">
        <v>20</v>
      </c>
      <c r="S66" s="25" t="inlineStr">
        <is>
          <t>Price-per-environment registry: tests/fixtures/pricing/pricing-products.ts keys pricingIds by E2E_ENVIRONMENT because the table ids differ AND collide across servers (e.g. id 34 is the no-material sticker-sheet table on static-2 but the PVC table on production). csvSources lists the environments a CSV is a valid rate baseline for; elsewhere the cell/interpolation tests skip with the reason, and an environment with no recorded id skips everything as "unmapped". Rounding: line total = round(price_per_mm x area x quantity, normalized_nr) (100 KRW; 10 KRW for sticker-sheet). Fractional per-unit won prices (e.g. "1매당 8.582원") are accepted business behaviour confirmed with Korean staff, NOT a defect -- only line totals are whole multiples of normalized_nr. Pricing API sits behind the WAF: sporadic HTTP 403 / 502-504 are retried by fetchQuotation (2/4/8/15 s ladder) and, if exhausted, are throttling or gateway availability, not a pricing regression. Counts are from `npx playwright test tests/e2e/storefront/pricing --list` with E2E_ENVIRONMENT=production (2,286 tests in 3 files).</t>
        </is>
      </c>
      <c r="T66" s="14" t="inlineStr">
        <is>
          <t>Not Run</t>
        </is>
      </c>
      <c r="U66" s="15" t="n"/>
      <c r="V66" s="15" t="n"/>
      <c r="W66" s="15" t="n"/>
      <c r="X66" s="15" t="n"/>
      <c r="Y66" s="25"/>
    </row>
    <row r="67" ht="150" customHeight="1">
      <c r="A67" s="12" t="inlineStr">
        <is>
          <t>MS-PRC-INT-QTY</t>
        </is>
      </c>
      <c r="B67" s="25" t="inlineStr">
        <is>
          <t>Storefront</t>
        </is>
      </c>
      <c r="C67" s="25" t="inlineStr">
        <is>
          <t>7. Pricing</t>
        </is>
      </c>
      <c r="D67" s="25" t="inlineStr">
        <is>
          <t>Price interpolation</t>
        </is>
      </c>
      <c r="E67" s="25" t="inlineStr">
        <is>
          <t>An off-ladder quantity at a grid area is priced by linear interpolation of the already ROUNDED rung totals.</t>
        </is>
      </c>
      <c r="F67" s="13" t="inlineStr">
        <is>
          <t>Critical</t>
        </is>
      </c>
      <c r="G67" s="25" t="inlineStr">
        <is>
          <t>Boundary</t>
        </is>
      </c>
      <c r="H67" s="25" t="inlineStr">
        <is>
          <t>E2E_ENVIRONMENT is in each product's csvSources (production covers all 20 products); pricing API reachable.</t>
        </is>
      </c>
      <c r="I67" s="25" t="inlineStr">
        <is>
          <t>Probe area = the middle grid row of the CSV; 2 rung intervals per product (first and last, sampleIndices(rungs-1, 2)); quantity = floor midpoint, e.g. 15 between 10 and 20, 85000 between 70000 and 100000 (7500 between 5000 and 10000 for sticker-sheet). vinyl-lettering and transfer-sticker get only 1 test (250 between 200 and 300) because their first rungs 1 and 2 are adjacent. Products covered (20, tests per product): die-cut-sticker (2); kiss-cut-sticker (2); circle-sticker (2); rectangle-sticker (2); square-sticker (2); oval-sticker (2); rounded-sticker (2); clear-sticker (2); hologram-sticker (2); vinyl-lettering (1); transfer-sticker (1); sticker-sheet (2); die-cut-roll (2); circle-roll (2); square-roll (2); rectangle-roll (2); rounded-roll (2); oval-roll (2); clear-roll (2); paper-roll (2). Sample probes: die-cut-sticker: quantity 15 interpolates between rungs 10 and 20 | quantity 85000 interpolates between rungs 70000 and 100000 || clear-sticker: quantity 15 interpolates between rungs 10 and 20 | quantity 85000 interpolates between rungs 70000 and 100000 || vinyl-lettering: quantity 250 interpolates between rungs 200 and 300 || sticker-sheet: quantity 15 interpolates between rungs 10 and 20 | quantity 7500 interpolates between rungs 5000 and 10000 || die-cut-roll: quantity 15 interpolates between rungs 10 and 20 | quantity 85000 interpolates between rungs 70000 and 100000.</t>
        </is>
      </c>
      <c r="J67" s="25" t="inlineStr">
        <is>
          <t xml:space="preserve">1. Take the CSV middle grid area and two adjacent quantity rungs (lower, upper) with an integer between them.
2. GET quotation/&lt;slug&gt;?width=W&amp;height=H&amp;quantity=&lt;midpoint&gt;&amp;debug=1.
3. Check meta.schema.quantity_method = "inbetween-quantity" and allowed_quantities = [lower, upper].
4. Compute each rung total rounded to normalized_nr, interpolate linearly, round again, compare with the quoted total.
5. Automated: npx playwright test tests/e2e/storefront/pricing/price-interpolation.spec.ts -g "interpolates between rungs".</t>
        </is>
      </c>
      <c r="K67" s="25" t="inlineStr">
        <is>
          <t>quantity_method is inbetween-quantity, allowed_quantities bracket the CSV ladder exactly, and the quoted total equals the interpolation of the ROUNDED rung totals rounded to normalized_nr.</t>
        </is>
      </c>
      <c r="L67" s="13" t="inlineStr">
        <is>
          <t>Automated</t>
        </is>
      </c>
      <c r="M67" s="25" t="inlineStr">
        <is>
          <t>Production-safe</t>
        </is>
      </c>
      <c r="N67" s="25" t="inlineStr">
        <is>
          <t>None (public read-only API). Runs only for products whose csvSources include the active environment; otherwise one skipped placeholder per product.</t>
        </is>
      </c>
      <c r="O67" s="25" t="inlineStr">
        <is>
          <t>tests/e2e/storefront/pricing/price-interpolation.spec.ts</t>
        </is>
      </c>
      <c r="P67" s="25" t="inlineStr">
        <is>
          <t>MS-PRC-INT-&lt;slug&gt; quantity &lt;q&gt; interpolates between rungs &lt;lower&gt; and &lt;upper&gt;</t>
        </is>
      </c>
      <c r="Q67" s="25" t="inlineStr">
        <is>
          <t>@api @pricing @regression</t>
        </is>
      </c>
      <c r="R67" s="13" t="n">
        <v>38</v>
      </c>
      <c r="S67" s="25" t="inlineStr">
        <is>
          <t>Price-per-environment registry: tests/fixtures/pricing/pricing-products.ts keys pricingIds by E2E_ENVIRONMENT because the table ids differ AND collide across servers (e.g. id 34 is the no-material sticker-sheet table on static-2 but the PVC table on production). csvSources lists the environments a CSV is a valid rate baseline for; elsewhere the cell/interpolation tests skip with the reason, and an environment with no recorded id skips everything as "unmapped". Rounding: line total = round(price_per_mm x area x quantity, normalized_nr) (100 KRW; 10 KRW for sticker-sheet). Fractional per-unit won prices (e.g. "1매당 8.582원") are accepted business behaviour confirmed with Korean staff, NOT a defect -- only line totals are whole multiples of normalized_nr. Pricing API sits behind the WAF: sporadic HTTP 403 / 502-504 are retried by fetchQuotation (2/4/8/15 s ladder) and, if exhausted, are throttling or gateway availability, not a pricing regression. Counts are from `npx playwright test tests/e2e/storefront/pricing --list` with E2E_ENVIRONMENT=production (2,286 tests in 3 files). Area interpolation uses unrounded totals, quantity interpolation uses rounded totals -- mixing them shifts results by one rounding step.</t>
        </is>
      </c>
      <c r="T67" s="14" t="inlineStr">
        <is>
          <t>Not Run</t>
        </is>
      </c>
      <c r="U67" s="15" t="n"/>
      <c r="V67" s="15" t="n"/>
      <c r="W67" s="15" t="n"/>
      <c r="X67" s="15" t="n"/>
      <c r="Y67" s="25"/>
    </row>
    <row r="68" ht="150" customHeight="1">
      <c r="A68" s="12" t="inlineStr">
        <is>
          <t>MS-PRC-INT-SHAPE</t>
        </is>
      </c>
      <c r="B68" s="25" t="inlineStr">
        <is>
          <t>Storefront</t>
        </is>
      </c>
      <c r="C68" s="25" t="inlineStr">
        <is>
          <t>7. Pricing</t>
        </is>
      </c>
      <c r="D68" s="25" t="inlineStr">
        <is>
          <t>Price interpolation</t>
        </is>
      </c>
      <c r="E68" s="25" t="inlineStr">
        <is>
          <t>Two different width x height shapes with the same area are quoted the same price, proving the grid is keyed on area not shape.</t>
        </is>
      </c>
      <c r="F68" s="13" t="inlineStr">
        <is>
          <t>High</t>
        </is>
      </c>
      <c r="G68" s="25" t="inlineStr">
        <is>
          <t>Functional</t>
        </is>
      </c>
      <c r="H68" s="25" t="inlineStr">
        <is>
          <t>E2E_ENVIRONMENT is in each product's csvSources (production covers all 20 products); pricing API reachable.</t>
        </is>
      </c>
      <c r="I68" s="25" t="inlineStr">
        <is>
          <t>Per product: the first CSV grid area that has a second factor pair (usually the lowest row), e.g. 625 as 25x25 and 5x125, 100 as 10x10 and 5x20, 900 as 30x30 and 25x36, 2500 as 50x50 and 25x100, 225 as 15x15 and 9x25; quantity = middle rung. Products covered (20, tests per product): die-cut-sticker (1); kiss-cut-sticker (1); circle-sticker (1); rectangle-sticker (1); square-sticker (1); oval-sticker (1); rounded-sticker (1); clear-sticker (1); hologram-sticker (1); vinyl-lettering (1); transfer-sticker (1); sticker-sheet (1); die-cut-roll (1); circle-roll (1); square-roll (1); rectangle-roll (1); rounded-roll (1); oval-roll (1); clear-roll (1); paper-roll (1). Sample probes: die-cut-sticker: area 625 prices the same as 25x25 and 5x125 || clear-sticker: area 100 prices the same as 10x10 and 5x20 || vinyl-lettering: area 900 prices the same as 30x30 and 25x36 || sticker-sheet: area 2500 prices the same as 50x50 and 25x100 || die-cut-roll: area 225 prices the same as 15x15 and 9x25.</t>
        </is>
      </c>
      <c r="J68" s="25" t="inlineStr">
        <is>
          <t xml:space="preserve">1. Choose a grid area with two factorisations (primary most-square pair and the next pair).
2. GET quotation/&lt;slug&gt; for each shape at the middle rung (no debug needed).
3. Compare the two quoted totals with each other.
4. Automated: npx playwright test tests/e2e/storefront/pricing/price-interpolation.spec.ts -g "prices the same as".</t>
        </is>
      </c>
      <c r="K68" s="25" t="inlineStr">
        <is>
          <t>Both shapes return the identical quoted total. (Compared with each other, not the CSV, so this stays meaningful even if stored rates drift.)</t>
        </is>
      </c>
      <c r="L68" s="13" t="inlineStr">
        <is>
          <t>Automated</t>
        </is>
      </c>
      <c r="M68" s="25" t="inlineStr">
        <is>
          <t>Production-safe</t>
        </is>
      </c>
      <c r="N68" s="25" t="inlineStr">
        <is>
          <t>None (public read-only API). Runs only for products whose csvSources include the active environment; otherwise one skipped placeholder per product.</t>
        </is>
      </c>
      <c r="O68" s="25" t="inlineStr">
        <is>
          <t>tests/e2e/storefront/pricing/price-interpolation.spec.ts</t>
        </is>
      </c>
      <c r="P68" s="25" t="inlineStr">
        <is>
          <t>MS-PRC-INT-&lt;slug&gt; area &lt;area&gt; prices the same as &lt;W1&gt;x&lt;H1&gt; and &lt;W2&gt;x&lt;H2&gt;</t>
        </is>
      </c>
      <c r="Q68" s="25" t="inlineStr">
        <is>
          <t>@api @pricing @regression</t>
        </is>
      </c>
      <c r="R68" s="13" t="n">
        <v>20</v>
      </c>
      <c r="S68" s="25" t="inlineStr">
        <is>
          <t>Price-per-environment registry: tests/fixtures/pricing/pricing-products.ts keys pricingIds by E2E_ENVIRONMENT because the table ids differ AND collide across servers (e.g. id 34 is the no-material sticker-sheet table on static-2 but the PVC table on production). csvSources lists the environments a CSV is a valid rate baseline for; elsewhere the cell/interpolation tests skip with the reason, and an environment with no recorded id skips everything as "unmapped". Rounding: line total = round(price_per_mm x area x quantity, normalized_nr) (100 KRW; 10 KRW for sticker-sheet). Fractional per-unit won prices (e.g. "1매당 8.582원") are accepted business behaviour confirmed with Korean staff, NOT a defect -- only line totals are whole multiples of normalized_nr. Pricing API sits behind the WAF: sporadic HTTP 403 / 502-504 are retried by fetchQuotation (2/4/8/15 s ladder) and, if exhausted, are throttling or gateway availability, not a pricing regression. Counts are from `npx playwright test tests/e2e/storefront/pricing --list` with E2E_ENVIRONMENT=production (2,286 tests in 3 files).</t>
        </is>
      </c>
      <c r="T68" s="14" t="inlineStr">
        <is>
          <t>Not Run</t>
        </is>
      </c>
      <c r="U68" s="15" t="n"/>
      <c r="V68" s="15" t="n"/>
      <c r="W68" s="15" t="n"/>
      <c r="X68" s="15" t="n"/>
      <c r="Y68" s="25"/>
    </row>
    <row r="69" ht="150" customHeight="1">
      <c r="A69" s="12" t="inlineStr">
        <is>
          <t>MS-PRC-MAP-1</t>
        </is>
      </c>
      <c r="B69" s="25" t="inlineStr">
        <is>
          <t>Storefront</t>
        </is>
      </c>
      <c r="C69" s="25" t="inlineStr">
        <is>
          <t>7. Pricing</t>
        </is>
      </c>
      <c r="D69" s="25" t="inlineStr">
        <is>
          <t>Product table mapping</t>
        </is>
      </c>
      <c r="E69" s="25" t="inlineStr">
        <is>
          <t>Each registered product slug is served by the pricing table id recorded for the active environment, with the right rounding step.</t>
        </is>
      </c>
      <c r="F69" s="13" t="inlineStr">
        <is>
          <t>Critical</t>
        </is>
      </c>
      <c r="G69" s="25" t="inlineStr">
        <is>
          <t>Integration</t>
        </is>
      </c>
      <c r="H69" s="25" t="inlineStr">
        <is>
          <t>A pricing table id is recorded for the active environment in pricing-products.ts; pricing API reachable (MAP-2 needs only the repo).</t>
        </is>
      </c>
      <c r="I69" s="25" t="inlineStr">
        <is>
          <t>Probe 75x75 (no quantity) for each of the 20 registered slugs. Expected ids on production: die-cut/kiss-cut/circle/rectangle/square/oval/rounded-sticker 48, clear-sticker 49, hologram-sticker 50, vinyl-lettering 69, transfer-sticker 72, sticker-sheet 33, six shape/die-cut rolls 53, clear-roll 54, paper-roll 55. Other environments: see pricingIds in pricing-products.ts. Generated tests: MS-PRC-MAP die-cut-sticker is served by pricing table 48 | MS-PRC-MAP kiss-cut-sticker is served by pricing table 48 | MS-PRC-MAP circle-sticker is served by pricing table 48 | MS-PRC-MAP rectangle-sticker is served by pricing table 48 | MS-PRC-MAP square-sticker is served by pricing table 48 | MS-PRC-MAP oval-sticker is served by pricing table 48 | MS-PRC-MAP rounded-sticker is served by pricing table 48 | MS-PRC-MAP clear-sticker is served by pricing table 49 | MS-PRC-MAP hologram-sticker is served by pricing table 50 | MS-PRC-MAP vinyl-lettering is served by pricing table 69 | MS-PRC-MAP transfer-sticker is served by pricing table 72 | MS-PRC-MAP sticker-sheet is served by pricing table 33 | MS-PRC-MAP die-cut-roll is served by pricing table 53 | MS-PRC-MAP circle-roll is served by pricing table 53 | MS-PRC-MAP square-roll is served by pricing table 53 | MS-PRC-MAP rectangle-roll is served by pricing table 53 | MS-PRC-MAP rounded-roll is served by pricing table 53 | MS-PRC-MAP oval-roll is served by pricing table 53 | MS-PRC-MAP clear-roll is served by pricing table 54 | MS-PRC-MAP paper-roll is served by pricing table 55.</t>
        </is>
      </c>
      <c r="J69" s="25" t="inlineStr">
        <is>
          <t xml:space="preserve">1. For each slug, GET {api}/sys/kr/pricing/quotation/&lt;slug&gt;?width=75&amp;height=75.
2. Check meta.pricing_id equals the id recorded for the environment and meta.pricing matches the name pattern.
3. Check data.normalized_nr (100, or 10 for sticker-sheet) and that data.prices is non-empty.
4. Check every data.prices[].price is a whole multiple of normalized_nr.
5. Automated: npx playwright test tests/e2e/storefront/pricing/product-table-mapping.spec.ts -g "is served by pricing table".</t>
        </is>
      </c>
      <c r="K69" s="25" t="inlineStr">
        <is>
          <t>Every slug resolves to its recorded table id and name, normalized_nr matches the registry, a quantity ladder is returned and every line total is a multiple of normalized_nr.</t>
        </is>
      </c>
      <c r="L69" s="13" t="inlineStr">
        <is>
          <t>Automated</t>
        </is>
      </c>
      <c r="M69" s="25" t="inlineStr">
        <is>
          <t>Production-safe</t>
        </is>
      </c>
      <c r="N69" s="25" t="inlineStr">
        <is>
          <t>None (public read-only API). Runs on every environment with recorded pricing ids.</t>
        </is>
      </c>
      <c r="O69" s="25" t="inlineStr">
        <is>
          <t>tests/e2e/storefront/pricing/product-table-mapping.spec.ts</t>
        </is>
      </c>
      <c r="P69" s="25" t="inlineStr">
        <is>
          <t>MS-PRC-MAP &lt;slug&gt; is served by pricing table &lt;id&gt;</t>
        </is>
      </c>
      <c r="Q69" s="25" t="inlineStr">
        <is>
          <t>@api @pricing @regression</t>
        </is>
      </c>
      <c r="R69" s="13" t="n">
        <v>20</v>
      </c>
      <c r="S69" s="25" t="inlineStr">
        <is>
          <t>Price-per-environment registry: tests/fixtures/pricing/pricing-products.ts keys pricingIds by E2E_ENVIRONMENT because the table ids differ AND collide across servers (e.g. id 34 is the no-material sticker-sheet table on static-2 but the PVC table on production). csvSources lists the environments a CSV is a valid rate baseline for; elsewhere the cell/interpolation tests skip with the reason, and an environment with no recorded id skips everything as "unmapped". Rounding: line total = round(price_per_mm x area x quantity, normalized_nr) (100 KRW; 10 KRW for sticker-sheet). Fractional per-unit won prices (e.g. "1매당 8.582원") are accepted business behaviour confirmed with Korean staff, NOT a defect -- only line totals are whole multiples of normalized_nr. Pricing API sits behind the WAF: sporadic HTTP 403 / 502-504 are retried by fetchQuotation (2/4/8/15 s ladder) and, if exhausted, are throttling or gateway availability, not a pricing regression. Counts are from `npx playwright test tests/e2e/storefront/pricing --list` with E2E_ENVIRONMENT=production (2,286 tests in 3 files). Runs on EVERY environment with recorded ids (unlike the cell tests), so it is the only pricing check on static-1 and static-2 for the sticker tables, and on static-2 for the roll tables. Products without a recorded id for the environment get a skipped "is served by a known pricing table" placeholder. static-1 has ids only for the nine sticker products (51, clear/hologram 54); static-3..8 have none recorded and skip.</t>
        </is>
      </c>
      <c r="T69" s="14" t="inlineStr">
        <is>
          <t>Not Run</t>
        </is>
      </c>
      <c r="U69" s="15" t="n"/>
      <c r="V69" s="15" t="n"/>
      <c r="W69" s="15" t="n"/>
      <c r="X69" s="15" t="n"/>
      <c r="Y69" s="25"/>
    </row>
    <row r="70" ht="150" customHeight="1">
      <c r="A70" s="12" t="inlineStr">
        <is>
          <t>MS-PRC-MAP-2</t>
        </is>
      </c>
      <c r="B70" s="25" t="inlineStr">
        <is>
          <t>Storefront</t>
        </is>
      </c>
      <c r="C70" s="25" t="inlineStr">
        <is>
          <t>7. Pricing</t>
        </is>
      </c>
      <c r="D70" s="25" t="inlineStr">
        <is>
          <t>Product table mapping</t>
        </is>
      </c>
      <c r="E70" s="25" t="inlineStr">
        <is>
          <t>Committed CSVs of products that the server prices from one shared table hold identical rates.</t>
        </is>
      </c>
      <c r="F70" s="13" t="inlineStr">
        <is>
          <t>High</t>
        </is>
      </c>
      <c r="G70" s="25" t="inlineStr">
        <is>
          <t>Data</t>
        </is>
      </c>
      <c r="H70" s="25" t="inlineStr">
        <is>
          <t>A pricing table id is recorded for the active environment in pricing-products.ts; pricing API reachable (MAP-2 needs only the repo).</t>
        </is>
      </c>
      <c r="I70" s="25" t="inlineStr">
        <is>
          <t>Offline check, no API call. Production groups: table 48 (die-cut, kiss-cut, circle, rectangle, square, oval, rounded-sticker: 7 CSVs under stickers/) and table 53 (die-cut, circle, square, rectangle, rounded, oval-roll: 6 CSVs under roll-stickers/). Fingerprint = every area row with all quantity rates. Generated tests: MS-PRC-MAP CSVs for pricing table 48 agree with each other | MS-PRC-MAP CSVs for pricing table 53 agree with each other.</t>
        </is>
      </c>
      <c r="J70" s="25" t="inlineStr">
        <is>
          <t xml:space="preserve">1. Group registered products by the pricing id resolved for the environment; keep groups of 2+.
2. Load each group member's CSV and build a fingerprint of all areas and canonical rates.
3. Compare every CSV fingerprint with the first one in the group.
4. Automated: npx playwright test tests/e2e/storefront/pricing/product-table-mapping.spec.ts -g "agree with each other".</t>
        </is>
      </c>
      <c r="K70" s="25" t="inlineStr">
        <is>
          <t>All CSVs in each shared-table group are identical; any divergent CSV is named in a soft assertion. Skips if fewer than two CSVs are committed.</t>
        </is>
      </c>
      <c r="L70" s="13" t="inlineStr">
        <is>
          <t>Automated</t>
        </is>
      </c>
      <c r="M70" s="25" t="inlineStr">
        <is>
          <t>Production-safe</t>
        </is>
      </c>
      <c r="N70" s="25" t="inlineStr">
        <is>
          <t>None (public read-only API). Runs on every environment with recorded pricing ids.</t>
        </is>
      </c>
      <c r="O70" s="25" t="inlineStr">
        <is>
          <t>tests/e2e/storefront/pricing/product-table-mapping.spec.ts</t>
        </is>
      </c>
      <c r="P70" s="25" t="inlineStr">
        <is>
          <t>MS-PRC-MAP CSVs for pricing table &lt;id&gt; agree with each other</t>
        </is>
      </c>
      <c r="Q70" s="25" t="inlineStr">
        <is>
          <t>@api @pricing @regression</t>
        </is>
      </c>
      <c r="R70" s="13" t="n">
        <v>2</v>
      </c>
      <c r="S70" s="25" t="inlineStr">
        <is>
          <t>Price-per-environment registry: tests/fixtures/pricing/pricing-products.ts keys pricingIds by E2E_ENVIRONMENT because the table ids differ AND collide across servers (e.g. id 34 is the no-material sticker-sheet table on static-2 but the PVC table on production). csvSources lists the environments a CSV is a valid rate baseline for; elsewhere the cell/interpolation tests skip with the reason, and an environment with no recorded id skips everything as "unmapped". Rounding: line total = round(price_per_mm x area x quantity, normalized_nr) (100 KRW; 10 KRW for sticker-sheet). Fractional per-unit won prices (e.g. "1매당 8.582원") are accepted business behaviour confirmed with Korean staff, NOT a defect -- only line totals are whole multiples of normalized_nr. Pricing API sits behind the WAF: sporadic HTTP 403 / 502-504 are retried by fetchQuotation (2/4/8/15 s ladder) and, if exhausted, are throttling or gateway availability, not a pricing regression. Counts are from `npx playwright test tests/e2e/storefront/pricing --list` with E2E_ENVIRONMENT=production (2,286 tests in 3 files). Grouping follows the environment: on development-1 the five shapes share 46 while die-cut (45) and kiss-cut (47) are separate, so the group sizes differ from production.</t>
        </is>
      </c>
      <c r="T70" s="14" t="inlineStr">
        <is>
          <t>Not Run</t>
        </is>
      </c>
      <c r="U70" s="15" t="n"/>
      <c r="V70" s="15" t="n"/>
      <c r="W70" s="15" t="n"/>
      <c r="X70" s="15" t="n"/>
      <c r="Y70" s="25"/>
    </row>
    <row r="71" ht="150" customHeight="1">
      <c r="A71" s="12" t="inlineStr">
        <is>
          <t>MS-PRC-MAP-3</t>
        </is>
      </c>
      <c r="B71" s="25" t="inlineStr">
        <is>
          <t>Storefront</t>
        </is>
      </c>
      <c r="C71" s="25" t="inlineStr">
        <is>
          <t>7. Pricing</t>
        </is>
      </c>
      <c r="D71" s="25" t="inlineStr">
        <is>
          <t>Product table mapping</t>
        </is>
      </c>
      <c r="E71" s="25" t="inlineStr">
        <is>
          <t>Products that share a pricing table id return byte-identical stored rows from the API.</t>
        </is>
      </c>
      <c r="F71" s="13" t="inlineStr">
        <is>
          <t>High</t>
        </is>
      </c>
      <c r="G71" s="25" t="inlineStr">
        <is>
          <t>Integration</t>
        </is>
      </c>
      <c r="H71" s="25" t="inlineStr">
        <is>
          <t>A pricing table id is recorded for the active environment in pricing-products.ts; pricing API reachable (MAP-2 needs only the repo).</t>
        </is>
      </c>
      <c r="I71" s="25" t="inlineStr">
        <is>
          <t>Probe area 5625 (75x75) at quantity 10 with debug=1 for every product of each shared group: table 48 (7 sticker products) and table 53 (6 roll products) on production. Generated tests: MS-PRC-MAP pricing table 48 is identical across 7 products | MS-PRC-MAP pricing table 53 is identical across 6 products.</t>
        </is>
      </c>
      <c r="J71" s="25" t="inlineStr">
        <is>
          <t xml:space="preserve">1. For each shared-table group, GET quotation/&lt;slug&gt;?width=75&amp;height=75&amp;quantity=10&amp;debug=1 for each member.
2. Check meta.pricing_id equals the group id.
3. Serialise the stored row (quantity=rate pairs) and compare each member against the first.
4. Automated: npx playwright test tests/e2e/storefront/pricing/product-table-mapping.spec.ts -g "is identical across".</t>
        </is>
      </c>
      <c r="K71" s="25" t="inlineStr">
        <is>
          <t>Every member reports the group pricing_id and exactly the same stored row as the reference product.</t>
        </is>
      </c>
      <c r="L71" s="13" t="inlineStr">
        <is>
          <t>Automated</t>
        </is>
      </c>
      <c r="M71" s="25" t="inlineStr">
        <is>
          <t>Production-safe</t>
        </is>
      </c>
      <c r="N71" s="25" t="inlineStr">
        <is>
          <t>None (public read-only API). Runs on every environment with recorded pricing ids.</t>
        </is>
      </c>
      <c r="O71" s="25" t="inlineStr">
        <is>
          <t>tests/e2e/storefront/pricing/product-table-mapping.spec.ts</t>
        </is>
      </c>
      <c r="P71" s="25" t="inlineStr">
        <is>
          <t>MS-PRC-MAP pricing table &lt;id&gt; is identical across &lt;n&gt; products</t>
        </is>
      </c>
      <c r="Q71" s="25" t="inlineStr">
        <is>
          <t>@api @pricing @regression</t>
        </is>
      </c>
      <c r="R71" s="13" t="n">
        <v>2</v>
      </c>
      <c r="S71" s="25" t="inlineStr">
        <is>
          <t>Price-per-environment registry: tests/fixtures/pricing/pricing-products.ts keys pricingIds by E2E_ENVIRONMENT because the table ids differ AND collide across servers (e.g. id 34 is the no-material sticker-sheet table on static-2 but the PVC table on production). csvSources lists the environments a CSV is a valid rate baseline for; elsewhere the cell/interpolation tests skip with the reason, and an environment with no recorded id skips everything as "unmapped". Rounding: line total = round(price_per_mm x area x quantity, normalized_nr) (100 KRW; 10 KRW for sticker-sheet). Fractional per-unit won prices (e.g. "1매당 8.582원") are accepted business behaviour confirmed with Korean staff, NOT a defect -- only line totals are whole multiples of normalized_nr. Pricing API sits behind the WAF: sporadic HTTP 403 / 502-504 are retried by fetchQuotation (2/4/8/15 s ladder) and, if exhausted, are throttling or gateway availability, not a pricing regression. Counts are from `npx playwright test tests/e2e/storefront/pricing --list` with E2E_ENVIRONMENT=production (2,286 tests in 3 files).</t>
        </is>
      </c>
      <c r="T71" s="14" t="inlineStr">
        <is>
          <t>Not Run</t>
        </is>
      </c>
      <c r="U71" s="15" t="n"/>
      <c r="V71" s="15" t="n"/>
      <c r="W71" s="15" t="n"/>
      <c r="X71" s="15" t="n"/>
      <c r="Y71" s="25"/>
    </row>
    <row r="72" ht="150" customHeight="1">
      <c r="A72" s="12" t="inlineStr">
        <is>
          <t>MS-PRC-TBL-circle-roll</t>
        </is>
      </c>
      <c r="B72" s="25" t="inlineStr">
        <is>
          <t>Storefront</t>
        </is>
      </c>
      <c r="C72" s="25" t="inlineStr">
        <is>
          <t>7. Pricing</t>
        </is>
      </c>
      <c r="D72" s="25" t="inlineStr">
        <is>
          <t>Price table</t>
        </is>
      </c>
      <c r="E72" s="25" t="inlineStr">
        <is>
          <t>Every grid row of the circle-roll price table served by the pricing API matches the committed CSV cell for cell.</t>
        </is>
      </c>
      <c r="F72" s="13" t="inlineStr">
        <is>
          <t>High</t>
        </is>
      </c>
      <c r="G72" s="25" t="inlineStr">
        <is>
          <t>Data</t>
        </is>
      </c>
      <c r="H72" s="25" t="inlineStr">
        <is>
          <t>E2E_ENVIRONMENT is one of the csvSources for this product (production) and a pricing table id is recorded for it in pricing-products.ts (production=53, static-2=15). Pricing quotation API reachable (public, no auth).</t>
        </is>
      </c>
      <c r="I72" s="25" t="inlineStr">
        <is>
          <t>CSV: tests/fixtures/pricing/roll-stickers/circle-roll.csv. Grid rows checked: 46 (areas 225 to 57,000 mm2), one API request per row. Quantities compared per row: all 19 rungs (10, 20, 30, 40, 50, 100, 200, 300, 500, 1,000, 2,000, 3,000, 5,000, 10,000, 20,000, 30,000, 50,000, 70,000, 100,000); request is sent with quantity=10. Expected table: pricing_id 53 on production (production=53, static-2=15), name /^(?:diecut\/kisscut roll|Roll)\b/i, normalized_nr 100.</t>
        </is>
      </c>
      <c r="J72" s="25" t="inlineStr">
        <is>
          <t xml:space="preserve">1. Select the environment (e.g. E2E_ENVIRONMENT=production) and open the CSV.
2. For each area row, derive the most-square integer width x height whose product is the area (e.g. 625 -&gt; 25x25).
3. GET {api}/sys/kr/pricing/quotation/circle-roll?width=W&amp;height=H&amp;quantity=10&amp;debug=1.
4. Check success=true, meta.pricing_id, meta.pricing name and data.normalized_nr.
5. Check meta.schema.exact_dimension=true and meta.schema.bounds has exactly one entry with base_area = the CSV area.
6. Compare the stored row (bounds[0].quantities: nr -&gt; price_per_mm) with the CSV row, every quantity column.
7. Automated: npx playwright test tests/e2e/storefront/pricing/price-table.spec.ts -g "MS-PRC-circle-roll area".</t>
        </is>
      </c>
      <c r="K72" s="25" t="inlineStr">
        <is>
          <t>For all 46 rows: meta.pricing_id = the id recorded for the environment, meta.pricing matches /^(?:diecut\/kisscut roll|Roll)\b/i, normalized_nr = 100; the area is an exact stored grid row resolving only to itself; the stored quantity ladder equals the CSV header exactly; every price_per_mm equals the CSV cell (shortest round-trip number comparison, no tolerance). Any mismatching cells are all reported (soft asserts) and attached as price-diff-circle-roll-area-&lt;area&gt;.txt.</t>
        </is>
      </c>
      <c r="L72" s="13" t="inlineStr">
        <is>
          <t>Automated</t>
        </is>
      </c>
      <c r="M72" s="25" t="inlineStr">
        <is>
          <t>Production-safe</t>
        </is>
      </c>
      <c r="N72" s="25" t="inlineStr">
        <is>
          <t>None (public read-only API). Cells compared only when E2E_ENVIRONMENT is in csvSources (production); otherwise one skipped placeholder test.</t>
        </is>
      </c>
      <c r="O72" s="25" t="inlineStr">
        <is>
          <t>tests/e2e/storefront/pricing/price-table.spec.ts</t>
        </is>
      </c>
      <c r="P72" s="25" t="inlineStr">
        <is>
          <t>MS-PRC-circle-roll area &lt;area&gt; (&lt;W&gt;x&lt;H&gt;) matches roll-stickers/circle-roll.csv</t>
        </is>
      </c>
      <c r="Q72" s="25" t="inlineStr">
        <is>
          <t>@api @pricing @regression</t>
        </is>
      </c>
      <c r="R72" s="13" t="n">
        <v>46</v>
      </c>
      <c r="S72" s="25" t="inlineStr">
        <is>
          <t>Price-per-environment registry: tests/fixtures/pricing/pricing-products.ts keys pricingIds by E2E_ENVIRONMENT because the table ids differ AND collide across servers (e.g. id 34 is the no-material sticker-sheet table on static-2 but the PVC table on production). csvSources lists the environments a CSV is a valid rate baseline for; elsewhere the cell/interpolation tests skip with the reason, and an environment with no recorded id skips everything as "unmapped". Rounding: line total = round(price_per_mm x area x quantity, normalized_nr) (100 KRW; 10 KRW for sticker-sheet). Fractional per-unit won prices (e.g. "1매당 8.582원") are accepted business behaviour confirmed with Korean staff, NOT a defect -- only line totals are whole multiples of normalized_nr. Pricing API sits behind the WAF: sporadic HTTP 403 / 502-504 are retried by fetchQuotation (2/4/8/15 s ladder) and, if exhausted, are throttling or gateway availability, not a pricing regression. Counts are from `npx playwright test tests/e2e/storefront/pricing --list` with E2E_ENVIRONMENT=production (2,286 tests in 3 files). Roll CSVs are production-only baselines (production roll tables regenerated 2026-09-10 with a 19-rung ladder up to 100,000); on static-2 (ids 15/16/17, older 14-rung ladder) the cells skip and only MS-PRC-MAP runs.</t>
        </is>
      </c>
      <c r="T72" s="14" t="inlineStr">
        <is>
          <t>Not Run</t>
        </is>
      </c>
      <c r="U72" s="15" t="n"/>
      <c r="V72" s="15" t="n"/>
      <c r="W72" s="15" t="n"/>
      <c r="X72" s="15" t="n"/>
      <c r="Y72" s="25"/>
    </row>
    <row r="73" ht="150" customHeight="1">
      <c r="A73" s="12" t="inlineStr">
        <is>
          <t>MS-PRC-TBL-circle-sticker</t>
        </is>
      </c>
      <c r="B73" s="25" t="inlineStr">
        <is>
          <t>Storefront</t>
        </is>
      </c>
      <c r="C73" s="25" t="inlineStr">
        <is>
          <t>7. Pricing</t>
        </is>
      </c>
      <c r="D73" s="25" t="inlineStr">
        <is>
          <t>Price table</t>
        </is>
      </c>
      <c r="E73" s="25" t="inlineStr">
        <is>
          <t>Every grid row of the circle-sticker price table served by the pricing API matches the committed CSV cell for cell.</t>
        </is>
      </c>
      <c r="F73" s="13" t="inlineStr">
        <is>
          <t>High</t>
        </is>
      </c>
      <c r="G73" s="25" t="inlineStr">
        <is>
          <t>Data</t>
        </is>
      </c>
      <c r="H73" s="25" t="inlineStr">
        <is>
          <t>E2E_ENVIRONMENT is one of the csvSources for this product (production) and a pricing table id is recorded for it in pricing-products.ts (production=48, static-1=51, static-2=25). Pricing quotation API reachable (public, no auth).</t>
        </is>
      </c>
      <c r="I73" s="25" t="inlineStr">
        <is>
          <t>CSV: tests/fixtures/pricing/stickers/circle-sticker.csv. Grid rows checked: 147 (areas 625 to 546,000 mm2), one API request per row. Quantities compared per row: all 19 rungs (10, 20, 30, 40, 50, 100, 200, 300, 500, 1,000, 2,000, 3,000, 5,000, 10,000, 20,000, 30,000, 50,000, 70,000, 100,000); request is sent with quantity=10. Expected table: pricing_id 48 on production (production=48, static-1=51, static-2=25), name /^diecut\/kisscut\b/, normalized_nr 100.</t>
        </is>
      </c>
      <c r="J73" s="25" t="inlineStr">
        <is>
          <t xml:space="preserve">1. Select the environment (e.g. E2E_ENVIRONMENT=production) and open the CSV.
2. For each area row, derive the most-square integer width x height whose product is the area (e.g. 625 -&gt; 25x25).
3. GET {api}/sys/kr/pricing/quotation/circle-sticker?width=W&amp;height=H&amp;quantity=10&amp;debug=1.
4. Check success=true, meta.pricing_id, meta.pricing name and data.normalized_nr.
5. Check meta.schema.exact_dimension=true and meta.schema.bounds has exactly one entry with base_area = the CSV area.
6. Compare the stored row (bounds[0].quantities: nr -&gt; price_per_mm) with the CSV row, every quantity column.
7. Automated: npx playwright test tests/e2e/storefront/pricing/price-table.spec.ts -g "MS-PRC-circle-sticker area".</t>
        </is>
      </c>
      <c r="K73" s="25" t="inlineStr">
        <is>
          <t>For all 147 rows: meta.pricing_id = the id recorded for the environment, meta.pricing matches /^diecut\/kisscut\b/, normalized_nr = 100; the area is an exact stored grid row resolving only to itself; the stored quantity ladder equals the CSV header exactly; every price_per_mm equals the CSV cell (shortest round-trip number comparison, no tolerance). Any mismatching cells are all reported (soft asserts) and attached as price-diff-circle-sticker-area-&lt;area&gt;.txt.</t>
        </is>
      </c>
      <c r="L73" s="13" t="inlineStr">
        <is>
          <t>Automated</t>
        </is>
      </c>
      <c r="M73" s="25" t="inlineStr">
        <is>
          <t>Production-safe</t>
        </is>
      </c>
      <c r="N73" s="25" t="inlineStr">
        <is>
          <t>None (public read-only API). Cells compared only when E2E_ENVIRONMENT is in csvSources (production); otherwise one skipped placeholder test.</t>
        </is>
      </c>
      <c r="O73" s="25" t="inlineStr">
        <is>
          <t>tests/e2e/storefront/pricing/price-table.spec.ts</t>
        </is>
      </c>
      <c r="P73" s="25" t="inlineStr">
        <is>
          <t>MS-PRC-circle-sticker area &lt;area&gt; (&lt;W&gt;x&lt;H&gt;) matches stickers/circle-sticker.csv</t>
        </is>
      </c>
      <c r="Q73" s="25" t="inlineStr">
        <is>
          <t>@api @pricing @regression</t>
        </is>
      </c>
      <c r="R73" s="13" t="n">
        <v>147</v>
      </c>
      <c r="S73" s="25" t="inlineStr">
        <is>
          <t>Price-per-environment registry: tests/fixtures/pricing/pricing-products.ts keys pricingIds by E2E_ENVIRONMENT because the table ids differ AND collide across servers (e.g. id 34 is the no-material sticker-sheet table on static-2 but the PVC table on production). csvSources lists the environments a CSV is a valid rate baseline for; elsewhere the cell/interpolation tests skip with the reason, and an environment with no recorded id skips everything as "unmapped". Rounding: line total = round(price_per_mm x area x quantity, normalized_nr) (100 KRW; 10 KRW for sticker-sheet). Fractional per-unit won prices (e.g. "1매당 8.582원") are accepted business behaviour confirmed with Korean staff, NOT a defect -- only line totals are whole multiples of normalized_nr. Pricing API sits behind the WAF: sporadic HTTP 403 / 502-504 are retried by fetchQuotation (2/4/8/15 s ladder) and, if exhausted, are throttling or gateway availability, not a pricing regression. Counts are from `npx playwright test tests/e2e/storefront/pricing --list` with E2E_ENVIRONMENT=production (2,286 tests in 3 files).</t>
        </is>
      </c>
      <c r="T73" s="14" t="inlineStr">
        <is>
          <t>Not Run</t>
        </is>
      </c>
      <c r="U73" s="15" t="n"/>
      <c r="V73" s="15" t="n"/>
      <c r="W73" s="15" t="n"/>
      <c r="X73" s="15" t="n"/>
      <c r="Y73" s="25"/>
    </row>
    <row r="74" ht="150" customHeight="1">
      <c r="A74" s="12" t="inlineStr">
        <is>
          <t>MS-PRC-TBL-clear-roll</t>
        </is>
      </c>
      <c r="B74" s="25" t="inlineStr">
        <is>
          <t>Storefront</t>
        </is>
      </c>
      <c r="C74" s="25" t="inlineStr">
        <is>
          <t>7. Pricing</t>
        </is>
      </c>
      <c r="D74" s="25" t="inlineStr">
        <is>
          <t>Price table</t>
        </is>
      </c>
      <c r="E74" s="25" t="inlineStr">
        <is>
          <t>Every grid row of the clear-roll price table served by the pricing API matches the committed CSV cell for cell.</t>
        </is>
      </c>
      <c r="F74" s="13" t="inlineStr">
        <is>
          <t>High</t>
        </is>
      </c>
      <c r="G74" s="25" t="inlineStr">
        <is>
          <t>Data</t>
        </is>
      </c>
      <c r="H74" s="25" t="inlineStr">
        <is>
          <t>E2E_ENVIRONMENT is one of the csvSources for this product (production) and a pricing table id is recorded for it in pricing-products.ts (production=54, static-2=16). Pricing quotation API reachable (public, no auth).</t>
        </is>
      </c>
      <c r="I74" s="25" t="inlineStr">
        <is>
          <t>CSV: tests/fixtures/pricing/roll-stickers/clear-roll.csv. Grid rows checked: 46 (areas 225 to 57,000 mm2), one API request per row. Quantities compared per row: all 19 rungs (10, 20, 30, 40, 50, 100, 200, 300, 500, 1,000, 2,000, 3,000, 5,000, 10,000, 20,000, 30,000, 50,000, 70,000, 100,000); request is sent with quantity=10. Expected table: pricing_id 54 on production (production=54, static-2=16), name /^Clear Roll\b/i, normalized_nr 100.</t>
        </is>
      </c>
      <c r="J74" s="25" t="inlineStr">
        <is>
          <t xml:space="preserve">1. Select the environment (e.g. E2E_ENVIRONMENT=production) and open the CSV.
2. For each area row, derive the most-square integer width x height whose product is the area (e.g. 625 -&gt; 25x25).
3. GET {api}/sys/kr/pricing/quotation/clear-roll?width=W&amp;height=H&amp;quantity=10&amp;debug=1.
4. Check success=true, meta.pricing_id, meta.pricing name and data.normalized_nr.
5. Check meta.schema.exact_dimension=true and meta.schema.bounds has exactly one entry with base_area = the CSV area.
6. Compare the stored row (bounds[0].quantities: nr -&gt; price_per_mm) with the CSV row, every quantity column.
7. Automated: npx playwright test tests/e2e/storefront/pricing/price-table.spec.ts -g "MS-PRC-clear-roll area".</t>
        </is>
      </c>
      <c r="K74" s="25" t="inlineStr">
        <is>
          <t>For all 46 rows: meta.pricing_id = the id recorded for the environment, meta.pricing matches /^Clear Roll\b/i, normalized_nr = 100; the area is an exact stored grid row resolving only to itself; the stored quantity ladder equals the CSV header exactly; every price_per_mm equals the CSV cell (shortest round-trip number comparison, no tolerance). Any mismatching cells are all reported (soft asserts) and attached as price-diff-clear-roll-area-&lt;area&gt;.txt.</t>
        </is>
      </c>
      <c r="L74" s="13" t="inlineStr">
        <is>
          <t>Automated</t>
        </is>
      </c>
      <c r="M74" s="25" t="inlineStr">
        <is>
          <t>Production-safe</t>
        </is>
      </c>
      <c r="N74" s="25" t="inlineStr">
        <is>
          <t>None (public read-only API). Cells compared only when E2E_ENVIRONMENT is in csvSources (production); otherwise one skipped placeholder test.</t>
        </is>
      </c>
      <c r="O74" s="25" t="inlineStr">
        <is>
          <t>tests/e2e/storefront/pricing/price-table.spec.ts</t>
        </is>
      </c>
      <c r="P74" s="25" t="inlineStr">
        <is>
          <t>MS-PRC-clear-roll area &lt;area&gt; (&lt;W&gt;x&lt;H&gt;) matches roll-stickers/clear-roll.csv</t>
        </is>
      </c>
      <c r="Q74" s="25" t="inlineStr">
        <is>
          <t>@api @pricing @regression</t>
        </is>
      </c>
      <c r="R74" s="13" t="n">
        <v>46</v>
      </c>
      <c r="S74" s="25" t="inlineStr">
        <is>
          <t>Price-per-environment registry: tests/fixtures/pricing/pricing-products.ts keys pricingIds by E2E_ENVIRONMENT because the table ids differ AND collide across servers (e.g. id 34 is the no-material sticker-sheet table on static-2 but the PVC table on production). csvSources lists the environments a CSV is a valid rate baseline for; elsewhere the cell/interpolation tests skip with the reason, and an environment with no recorded id skips everything as "unmapped". Rounding: line total = round(price_per_mm x area x quantity, normalized_nr) (100 KRW; 10 KRW for sticker-sheet). Fractional per-unit won prices (e.g. "1매당 8.582원") are accepted business behaviour confirmed with Korean staff, NOT a defect -- only line totals are whole multiples of normalized_nr. Pricing API sits behind the WAF: sporadic HTTP 403 / 502-504 are retried by fetchQuotation (2/4/8/15 s ladder) and, if exhausted, are throttling or gateway availability, not a pricing regression. Counts are from `npx playwright test tests/e2e/storefront/pricing --list` with E2E_ENVIRONMENT=production (2,286 tests in 3 files). Roll CSVs are production-only baselines (production roll tables regenerated 2026-09-10 with a 19-rung ladder up to 100,000); on static-2 (ids 15/16/17, older 14-rung ladder) the cells skip and only MS-PRC-MAP runs.</t>
        </is>
      </c>
      <c r="T74" s="14" t="inlineStr">
        <is>
          <t>Not Run</t>
        </is>
      </c>
      <c r="U74" s="15" t="n"/>
      <c r="V74" s="15" t="n"/>
      <c r="W74" s="15" t="n"/>
      <c r="X74" s="15" t="n"/>
      <c r="Y74" s="25"/>
    </row>
    <row r="75" ht="150" customHeight="1">
      <c r="A75" s="12" t="inlineStr">
        <is>
          <t>MS-PRC-TBL-clear-sticker</t>
        </is>
      </c>
      <c r="B75" s="25" t="inlineStr">
        <is>
          <t>Storefront</t>
        </is>
      </c>
      <c r="C75" s="25" t="inlineStr">
        <is>
          <t>7. Pricing</t>
        </is>
      </c>
      <c r="D75" s="25" t="inlineStr">
        <is>
          <t>Price table</t>
        </is>
      </c>
      <c r="E75" s="25" t="inlineStr">
        <is>
          <t>Every grid row of the clear-sticker price table served by the pricing API matches the committed CSV cell for cell.</t>
        </is>
      </c>
      <c r="F75" s="13" t="inlineStr">
        <is>
          <t>High</t>
        </is>
      </c>
      <c r="G75" s="25" t="inlineStr">
        <is>
          <t>Data</t>
        </is>
      </c>
      <c r="H75" s="25" t="inlineStr">
        <is>
          <t>E2E_ENVIRONMENT is one of the csvSources for this product (production) and a pricing table id is recorded for it in pricing-products.ts (production=49, static-1=54, static-2=30). Pricing quotation API reachable (public, no auth).</t>
        </is>
      </c>
      <c r="I75" s="25" t="inlineStr">
        <is>
          <t>CSV: tests/fixtures/pricing/stickers/clear-sticker.csv. Grid rows checked: 150 (areas 100 to 546,000 mm2), one API request per row. Quantities compared per row: all 19 rungs (10, 20, 30, 40, 50, 100, 200, 300, 500, 1,000, 2,000, 3,000, 5,000, 10,000, 20,000, 30,000, 50,000, 70,000, 100,000); request is sent with quantity=10. Expected table: pricing_id 49 on production (production=49, static-1=54, static-2=30), name /^clear\b/, normalized_nr 100.</t>
        </is>
      </c>
      <c r="J75" s="25" t="inlineStr">
        <is>
          <t xml:space="preserve">1. Select the environment (e.g. E2E_ENVIRONMENT=production) and open the CSV.
2. For each area row, derive the most-square integer width x height whose product is the area (e.g. 625 -&gt; 25x25).
3. GET {api}/sys/kr/pricing/quotation/clear-sticker?width=W&amp;height=H&amp;quantity=10&amp;debug=1.
4. Check success=true, meta.pricing_id, meta.pricing name and data.normalized_nr.
5. Check meta.schema.exact_dimension=true and meta.schema.bounds has exactly one entry with base_area = the CSV area.
6. Compare the stored row (bounds[0].quantities: nr -&gt; price_per_mm) with the CSV row, every quantity column.
7. Automated: npx playwright test tests/e2e/storefront/pricing/price-table.spec.ts -g "MS-PRC-clear-sticker area".</t>
        </is>
      </c>
      <c r="K75" s="25" t="inlineStr">
        <is>
          <t>For all 150 rows: meta.pricing_id = the id recorded for the environment, meta.pricing matches /^clear\b/, normalized_nr = 100; the area is an exact stored grid row resolving only to itself; the stored quantity ladder equals the CSV header exactly; every price_per_mm equals the CSV cell (shortest round-trip number comparison, no tolerance). Any mismatching cells are all reported (soft asserts) and attached as price-diff-clear-sticker-area-&lt;area&gt;.txt.</t>
        </is>
      </c>
      <c r="L75" s="13" t="inlineStr">
        <is>
          <t>Automated</t>
        </is>
      </c>
      <c r="M75" s="25" t="inlineStr">
        <is>
          <t>Production-safe</t>
        </is>
      </c>
      <c r="N75" s="25" t="inlineStr">
        <is>
          <t>None (public read-only API). Cells compared only when E2E_ENVIRONMENT is in csvSources (production); otherwise one skipped placeholder test.</t>
        </is>
      </c>
      <c r="O75" s="25" t="inlineStr">
        <is>
          <t>tests/e2e/storefront/pricing/price-table.spec.ts</t>
        </is>
      </c>
      <c r="P75" s="25" t="inlineStr">
        <is>
          <t>MS-PRC-clear-sticker area &lt;area&gt; (&lt;W&gt;x&lt;H&gt;) matches stickers/clear-sticker.csv</t>
        </is>
      </c>
      <c r="Q75" s="25" t="inlineStr">
        <is>
          <t>@api @pricing @regression</t>
        </is>
      </c>
      <c r="R75" s="13" t="n">
        <v>150</v>
      </c>
      <c r="S75" s="25" t="inlineStr">
        <is>
          <t>Price-per-environment registry: tests/fixtures/pricing/pricing-products.ts keys pricingIds by E2E_ENVIRONMENT because the table ids differ AND collide across servers (e.g. id 34 is the no-material sticker-sheet table on static-2 but the PVC table on production). csvSources lists the environments a CSV is a valid rate baseline for; elsewhere the cell/interpolation tests skip with the reason, and an environment with no recorded id skips everything as "unmapped". Rounding: line total = round(price_per_mm x area x quantity, normalized_nr) (100 KRW; 10 KRW for sticker-sheet). Fractional per-unit won prices (e.g. "1매당 8.582원") are accepted business behaviour confirmed with Korean staff, NOT a defect -- only line totals are whole multiples of normalized_nr. Pricing API sits behind the WAF: sporadic HTTP 403 / 502-504 are retried by fetchQuotation (2/4/8/15 s ladder) and, if exhausted, are throttling or gateway availability, not a pricing regression. Counts are from `npx playwright test tests/e2e/storefront/pricing --list` with E2E_ENVIRONMENT=production (2,286 tests in 3 files).</t>
        </is>
      </c>
      <c r="T75" s="14" t="inlineStr">
        <is>
          <t>Not Run</t>
        </is>
      </c>
      <c r="U75" s="15" t="n"/>
      <c r="V75" s="15" t="n"/>
      <c r="W75" s="15" t="n"/>
      <c r="X75" s="15" t="n"/>
      <c r="Y75" s="25"/>
    </row>
    <row r="76" ht="150" customHeight="1">
      <c r="A76" s="12" t="inlineStr">
        <is>
          <t>MS-PRC-TBL-die-cut-roll</t>
        </is>
      </c>
      <c r="B76" s="25" t="inlineStr">
        <is>
          <t>Storefront</t>
        </is>
      </c>
      <c r="C76" s="25" t="inlineStr">
        <is>
          <t>7. Pricing</t>
        </is>
      </c>
      <c r="D76" s="25" t="inlineStr">
        <is>
          <t>Price table</t>
        </is>
      </c>
      <c r="E76" s="25" t="inlineStr">
        <is>
          <t>Every grid row of the die-cut-roll price table served by the pricing API matches the committed CSV cell for cell.</t>
        </is>
      </c>
      <c r="F76" s="13" t="inlineStr">
        <is>
          <t>High</t>
        </is>
      </c>
      <c r="G76" s="25" t="inlineStr">
        <is>
          <t>Data</t>
        </is>
      </c>
      <c r="H76" s="25" t="inlineStr">
        <is>
          <t>E2E_ENVIRONMENT is one of the csvSources for this product (production) and a pricing table id is recorded for it in pricing-products.ts (production=53, static-2=15). Pricing quotation API reachable (public, no auth).</t>
        </is>
      </c>
      <c r="I76" s="25" t="inlineStr">
        <is>
          <t>CSV: tests/fixtures/pricing/roll-stickers/die-cut-roll.csv. Grid rows checked: 46 (areas 225 to 57,000 mm2), one API request per row. Quantities compared per row: all 19 rungs (10, 20, 30, 40, 50, 100, 200, 300, 500, 1,000, 2,000, 3,000, 5,000, 10,000, 20,000, 30,000, 50,000, 70,000, 100,000); request is sent with quantity=10. Expected table: pricing_id 53 on production (production=53, static-2=15), name /^(?:diecut\/kisscut roll|Roll)\b/i, normalized_nr 100.</t>
        </is>
      </c>
      <c r="J76" s="25" t="inlineStr">
        <is>
          <t xml:space="preserve">1. Select the environment (e.g. E2E_ENVIRONMENT=production) and open the CSV.
2. For each area row, derive the most-square integer width x height whose product is the area (e.g. 625 -&gt; 25x25).
3. GET {api}/sys/kr/pricing/quotation/die-cut-roll?width=W&amp;height=H&amp;quantity=10&amp;debug=1.
4. Check success=true, meta.pricing_id, meta.pricing name and data.normalized_nr.
5. Check meta.schema.exact_dimension=true and meta.schema.bounds has exactly one entry with base_area = the CSV area.
6. Compare the stored row (bounds[0].quantities: nr -&gt; price_per_mm) with the CSV row, every quantity column.
7. Automated: npx playwright test tests/e2e/storefront/pricing/price-table.spec.ts -g "MS-PRC-die-cut-roll area".</t>
        </is>
      </c>
      <c r="K76" s="25" t="inlineStr">
        <is>
          <t>For all 46 rows: meta.pricing_id = the id recorded for the environment, meta.pricing matches /^(?:diecut\/kisscut roll|Roll)\b/i, normalized_nr = 100; the area is an exact stored grid row resolving only to itself; the stored quantity ladder equals the CSV header exactly; every price_per_mm equals the CSV cell (shortest round-trip number comparison, no tolerance). Any mismatching cells are all reported (soft asserts) and attached as price-diff-die-cut-roll-area-&lt;area&gt;.txt.</t>
        </is>
      </c>
      <c r="L76" s="13" t="inlineStr">
        <is>
          <t>Automated</t>
        </is>
      </c>
      <c r="M76" s="25" t="inlineStr">
        <is>
          <t>Production-safe</t>
        </is>
      </c>
      <c r="N76" s="25" t="inlineStr">
        <is>
          <t>None (public read-only API). Cells compared only when E2E_ENVIRONMENT is in csvSources (production); otherwise one skipped placeholder test.</t>
        </is>
      </c>
      <c r="O76" s="25" t="inlineStr">
        <is>
          <t>tests/e2e/storefront/pricing/price-table.spec.ts</t>
        </is>
      </c>
      <c r="P76" s="25" t="inlineStr">
        <is>
          <t>MS-PRC-die-cut-roll area &lt;area&gt; (&lt;W&gt;x&lt;H&gt;) matches roll-stickers/die-cut-roll.csv</t>
        </is>
      </c>
      <c r="Q76" s="25" t="inlineStr">
        <is>
          <t>@api @pricing @regression</t>
        </is>
      </c>
      <c r="R76" s="13" t="n">
        <v>46</v>
      </c>
      <c r="S76" s="25" t="inlineStr">
        <is>
          <t>Price-per-environment registry: tests/fixtures/pricing/pricing-products.ts keys pricingIds by E2E_ENVIRONMENT because the table ids differ AND collide across servers (e.g. id 34 is the no-material sticker-sheet table on static-2 but the PVC table on production). csvSources lists the environments a CSV is a valid rate baseline for; elsewhere the cell/interpolation tests skip with the reason, and an environment with no recorded id skips everything as "unmapped". Rounding: line total = round(price_per_mm x area x quantity, normalized_nr) (100 KRW; 10 KRW for sticker-sheet). Fractional per-unit won prices (e.g. "1매당 8.582원") are accepted business behaviour confirmed with Korean staff, NOT a defect -- only line totals are whole multiples of normalized_nr. Pricing API sits behind the WAF: sporadic HTTP 403 / 502-504 are retried by fetchQuotation (2/4/8/15 s ladder) and, if exhausted, are throttling or gateway availability, not a pricing regression. Counts are from `npx playwright test tests/e2e/storefront/pricing --list` with E2E_ENVIRONMENT=production (2,286 tests in 3 files). Roll CSVs are production-only baselines (production roll tables regenerated 2026-09-10 with a 19-rung ladder up to 100,000); on static-2 (ids 15/16/17, older 14-rung ladder) the cells skip and only MS-PRC-MAP runs.</t>
        </is>
      </c>
      <c r="T76" s="14" t="inlineStr">
        <is>
          <t>Not Run</t>
        </is>
      </c>
      <c r="U76" s="15" t="n"/>
      <c r="V76" s="15" t="n"/>
      <c r="W76" s="15" t="n"/>
      <c r="X76" s="15" t="n"/>
      <c r="Y76" s="25"/>
    </row>
    <row r="77" ht="150" customHeight="1">
      <c r="A77" s="12" t="inlineStr">
        <is>
          <t>MS-PRC-TBL-die-cut-sticker</t>
        </is>
      </c>
      <c r="B77" s="25" t="inlineStr">
        <is>
          <t>Storefront</t>
        </is>
      </c>
      <c r="C77" s="25" t="inlineStr">
        <is>
          <t>7. Pricing</t>
        </is>
      </c>
      <c r="D77" s="25" t="inlineStr">
        <is>
          <t>Price table</t>
        </is>
      </c>
      <c r="E77" s="25" t="inlineStr">
        <is>
          <t>Every grid row of the die-cut-sticker price table served by the pricing API matches the committed CSV cell for cell.</t>
        </is>
      </c>
      <c r="F77" s="13" t="inlineStr">
        <is>
          <t>High</t>
        </is>
      </c>
      <c r="G77" s="25" t="inlineStr">
        <is>
          <t>Data</t>
        </is>
      </c>
      <c r="H77" s="25" t="inlineStr">
        <is>
          <t>E2E_ENVIRONMENT is one of the csvSources for this product (production) and a pricing table id is recorded for it in pricing-products.ts (production=48, static-1=51, static-2=5). Pricing quotation API reachable (public, no auth).</t>
        </is>
      </c>
      <c r="I77" s="25" t="inlineStr">
        <is>
          <t>CSV: tests/fixtures/pricing/stickers/die-cut-sticker.csv. Grid rows checked: 147 (areas 625 to 546,000 mm2), one API request per row. Quantities compared per row: all 19 rungs (10, 20, 30, 40, 50, 100, 200, 300, 500, 1,000, 2,000, 3,000, 5,000, 10,000, 20,000, 30,000, 50,000, 70,000, 100,000); request is sent with quantity=10. Expected table: pricing_id 48 on production (production=48, static-1=51, static-2=5), name /^diecut\/kisscut\b/, normalized_nr 100.</t>
        </is>
      </c>
      <c r="J77" s="25" t="inlineStr">
        <is>
          <t xml:space="preserve">1. Select the environment (e.g. E2E_ENVIRONMENT=production) and open the CSV.
2. For each area row, derive the most-square integer width x height whose product is the area (e.g. 625 -&gt; 25x25).
3. GET {api}/sys/kr/pricing/quotation/die-cut-sticker?width=W&amp;height=H&amp;quantity=10&amp;debug=1.
4. Check success=true, meta.pricing_id, meta.pricing name and data.normalized_nr.
5. Check meta.schema.exact_dimension=true and meta.schema.bounds has exactly one entry with base_area = the CSV area.
6. Compare the stored row (bounds[0].quantities: nr -&gt; price_per_mm) with the CSV row, every quantity column.
7. Automated: npx playwright test tests/e2e/storefront/pricing/price-table.spec.ts -g "MS-PRC-die-cut-sticker area".</t>
        </is>
      </c>
      <c r="K77" s="25" t="inlineStr">
        <is>
          <t>For all 147 rows: meta.pricing_id = the id recorded for the environment, meta.pricing matches /^diecut\/kisscut\b/, normalized_nr = 100; the area is an exact stored grid row resolving only to itself; the stored quantity ladder equals the CSV header exactly; every price_per_mm equals the CSV cell (shortest round-trip number comparison, no tolerance). Any mismatching cells are all reported (soft asserts) and attached as price-diff-die-cut-sticker-area-&lt;area&gt;.txt.</t>
        </is>
      </c>
      <c r="L77" s="13" t="inlineStr">
        <is>
          <t>Automated</t>
        </is>
      </c>
      <c r="M77" s="25" t="inlineStr">
        <is>
          <t>Production-safe</t>
        </is>
      </c>
      <c r="N77" s="25" t="inlineStr">
        <is>
          <t>None (public read-only API). Cells compared only when E2E_ENVIRONMENT is in csvSources (production); otherwise one skipped placeholder test.</t>
        </is>
      </c>
      <c r="O77" s="25" t="inlineStr">
        <is>
          <t>tests/e2e/storefront/pricing/price-table.spec.ts</t>
        </is>
      </c>
      <c r="P77" s="25" t="inlineStr">
        <is>
          <t>MS-PRC-die-cut-sticker area &lt;area&gt; (&lt;W&gt;x&lt;H&gt;) matches stickers/die-cut-sticker.csv</t>
        </is>
      </c>
      <c r="Q77" s="25" t="inlineStr">
        <is>
          <t>@api @pricing @regression</t>
        </is>
      </c>
      <c r="R77" s="13" t="n">
        <v>147</v>
      </c>
      <c r="S77" s="25" t="inlineStr">
        <is>
          <t>Price-per-environment registry: tests/fixtures/pricing/pricing-products.ts keys pricingIds by E2E_ENVIRONMENT because the table ids differ AND collide across servers (e.g. id 34 is the no-material sticker-sheet table on static-2 but the PVC table on production). csvSources lists the environments a CSV is a valid rate baseline for; elsewhere the cell/interpolation tests skip with the reason, and an environment with no recorded id skips everything as "unmapped". Rounding: line total = round(price_per_mm x area x quantity, normalized_nr) (100 KRW; 10 KRW for sticker-sheet). Fractional per-unit won prices (e.g. "1매당 8.582원") are accepted business behaviour confirmed with Korean staff, NOT a defect -- only line totals are whole multiples of normalized_nr. Pricing API sits behind the WAF: sporadic HTTP 403 / 502-504 are retried by fetchQuotation (2/4/8/15 s ladder) and, if exhausted, are throttling or gateway availability, not a pricing regression. Counts are from `npx playwright test tests/e2e/storefront/pricing --list` with E2E_ENVIRONMENT=production (2,286 tests in 3 files). The CSV starts at 625 mm2 (25x25) because that is the die-cut minimum; smaller probes answer "No base dimension data found!".</t>
        </is>
      </c>
      <c r="T77" s="14" t="inlineStr">
        <is>
          <t>Not Run</t>
        </is>
      </c>
      <c r="U77" s="15" t="n"/>
      <c r="V77" s="15" t="n"/>
      <c r="W77" s="15" t="n"/>
      <c r="X77" s="15" t="n"/>
      <c r="Y77" s="25"/>
    </row>
    <row r="78" ht="150" customHeight="1">
      <c r="A78" s="12" t="inlineStr">
        <is>
          <t>MS-PRC-TBL-hologram-sticker</t>
        </is>
      </c>
      <c r="B78" s="25" t="inlineStr">
        <is>
          <t>Storefront</t>
        </is>
      </c>
      <c r="C78" s="25" t="inlineStr">
        <is>
          <t>7. Pricing</t>
        </is>
      </c>
      <c r="D78" s="25" t="inlineStr">
        <is>
          <t>Price table</t>
        </is>
      </c>
      <c r="E78" s="25" t="inlineStr">
        <is>
          <t>Every grid row of the hologram-sticker price table served by the pricing API matches the committed CSV cell for cell.</t>
        </is>
      </c>
      <c r="F78" s="13" t="inlineStr">
        <is>
          <t>High</t>
        </is>
      </c>
      <c r="G78" s="25" t="inlineStr">
        <is>
          <t>Data</t>
        </is>
      </c>
      <c r="H78" s="25" t="inlineStr">
        <is>
          <t>E2E_ENVIRONMENT is one of the csvSources for this product (production) and a pricing table id is recorded for it in pricing-products.ts (production=50, static-1=54, static-2=31). Pricing quotation API reachable (public, no auth).</t>
        </is>
      </c>
      <c r="I78" s="25" t="inlineStr">
        <is>
          <t>CSV: tests/fixtures/pricing/stickers/hologram-sticker.csv. Grid rows checked: 150 (areas 100 to 546,000 mm2), one API request per row. Quantities compared per row: all 19 rungs (10, 20, 30, 40, 50, 100, 200, 300, 500, 1,000, 2,000, 3,000, 5,000, 10,000, 20,000, 30,000, 50,000, 70,000, 100,000); request is sent with quantity=10. Expected table: pricing_id 50 on production (production=50, static-1=54, static-2=31), name /^hologram\b/, normalized_nr 100.</t>
        </is>
      </c>
      <c r="J78" s="25" t="inlineStr">
        <is>
          <t xml:space="preserve">1. Select the environment (e.g. E2E_ENVIRONMENT=production) and open the CSV.
2. For each area row, derive the most-square integer width x height whose product is the area (e.g. 625 -&gt; 25x25).
3. GET {api}/sys/kr/pricing/quotation/hologram-sticker?width=W&amp;height=H&amp;quantity=10&amp;debug=1.
4. Check success=true, meta.pricing_id, meta.pricing name and data.normalized_nr.
5. Check meta.schema.exact_dimension=true and meta.schema.bounds has exactly one entry with base_area = the CSV area.
6. Compare the stored row (bounds[0].quantities: nr -&gt; price_per_mm) with the CSV row, every quantity column.
7. Automated: npx playwright test tests/e2e/storefront/pricing/price-table.spec.ts -g "MS-PRC-hologram-sticker area".</t>
        </is>
      </c>
      <c r="K78" s="25" t="inlineStr">
        <is>
          <t>For all 150 rows: meta.pricing_id = the id recorded for the environment, meta.pricing matches /^hologram\b/, normalized_nr = 100; the area is an exact stored grid row resolving only to itself; the stored quantity ladder equals the CSV header exactly; every price_per_mm equals the CSV cell (shortest round-trip number comparison, no tolerance). Any mismatching cells are all reported (soft asserts) and attached as price-diff-hologram-sticker-area-&lt;area&gt;.txt.</t>
        </is>
      </c>
      <c r="L78" s="13" t="inlineStr">
        <is>
          <t>Automated</t>
        </is>
      </c>
      <c r="M78" s="25" t="inlineStr">
        <is>
          <t>Production-safe</t>
        </is>
      </c>
      <c r="N78" s="25" t="inlineStr">
        <is>
          <t>None (public read-only API). Cells compared only when E2E_ENVIRONMENT is in csvSources (production); otherwise one skipped placeholder test.</t>
        </is>
      </c>
      <c r="O78" s="25" t="inlineStr">
        <is>
          <t>tests/e2e/storefront/pricing/price-table.spec.ts</t>
        </is>
      </c>
      <c r="P78" s="25" t="inlineStr">
        <is>
          <t>MS-PRC-hologram-sticker area &lt;area&gt; (&lt;W&gt;x&lt;H&gt;) matches stickers/hologram-sticker.csv</t>
        </is>
      </c>
      <c r="Q78" s="25" t="inlineStr">
        <is>
          <t>@api @pricing @regression</t>
        </is>
      </c>
      <c r="R78" s="13" t="n">
        <v>150</v>
      </c>
      <c r="S78" s="25" t="inlineStr">
        <is>
          <t>Price-per-environment registry: tests/fixtures/pricing/pricing-products.ts keys pricingIds by E2E_ENVIRONMENT because the table ids differ AND collide across servers (e.g. id 34 is the no-material sticker-sheet table on static-2 but the PVC table on production). csvSources lists the environments a CSV is a valid rate baseline for; elsewhere the cell/interpolation tests skip with the reason, and an environment with no recorded id skips everything as "unmapped". Rounding: line total = round(price_per_mm x area x quantity, normalized_nr) (100 KRW; 10 KRW for sticker-sheet). Fractional per-unit won prices (e.g. "1매당 8.582원") are accepted business behaviour confirmed with Korean staff, NOT a defect -- only line totals are whole multiples of normalized_nr. Pricing API sits behind the WAF: sporadic HTTP 403 / 502-504 are retried by fetchQuotation (2/4/8/15 s ladder) and, if exhausted, are throttling or gateway availability, not a pricing regression. Counts are from `npx playwright test tests/e2e/storefront/pricing --list` with E2E_ENVIRONMENT=production (2,286 tests in 3 files). hologram-sticker serves both 다이컷 and 키스컷 from one table (supply_id does not change the quote), so its CSV is a merged export.</t>
        </is>
      </c>
      <c r="T78" s="14" t="inlineStr">
        <is>
          <t>Not Run</t>
        </is>
      </c>
      <c r="U78" s="15" t="n"/>
      <c r="V78" s="15" t="n"/>
      <c r="W78" s="15" t="n"/>
      <c r="X78" s="15" t="n"/>
      <c r="Y78" s="25"/>
    </row>
    <row r="79" ht="150" customHeight="1">
      <c r="A79" s="12" t="inlineStr">
        <is>
          <t>MS-PRC-TBL-kiss-cut-sticker</t>
        </is>
      </c>
      <c r="B79" s="25" t="inlineStr">
        <is>
          <t>Storefront</t>
        </is>
      </c>
      <c r="C79" s="25" t="inlineStr">
        <is>
          <t>7. Pricing</t>
        </is>
      </c>
      <c r="D79" s="25" t="inlineStr">
        <is>
          <t>Price table</t>
        </is>
      </c>
      <c r="E79" s="25" t="inlineStr">
        <is>
          <t>Every grid row of the kiss-cut-sticker price table served by the pricing API matches the committed CSV cell for cell.</t>
        </is>
      </c>
      <c r="F79" s="13" t="inlineStr">
        <is>
          <t>High</t>
        </is>
      </c>
      <c r="G79" s="25" t="inlineStr">
        <is>
          <t>Data</t>
        </is>
      </c>
      <c r="H79" s="25" t="inlineStr">
        <is>
          <t>E2E_ENVIRONMENT is one of the csvSources for this product (production) and a pricing table id is recorded for it in pricing-products.ts (production=48, static-1=51, static-2=23). Pricing quotation API reachable (public, no auth).</t>
        </is>
      </c>
      <c r="I79" s="25" t="inlineStr">
        <is>
          <t>CSV: tests/fixtures/pricing/stickers/kiss-cut-sticker.csv. Grid rows checked: 147 (areas 625 to 546,000 mm2), one API request per row. Quantities compared per row: all 19 rungs (10, 20, 30, 40, 50, 100, 200, 300, 500, 1,000, 2,000, 3,000, 5,000, 10,000, 20,000, 30,000, 50,000, 70,000, 100,000); request is sent with quantity=10. Expected table: pricing_id 48 on production (production=48, static-1=51, static-2=23), name /^diecut\/kisscut\b/, normalized_nr 100.</t>
        </is>
      </c>
      <c r="J79" s="25" t="inlineStr">
        <is>
          <t xml:space="preserve">1. Select the environment (e.g. E2E_ENVIRONMENT=production) and open the CSV.
2. For each area row, derive the most-square integer width x height whose product is the area (e.g. 625 -&gt; 25x25).
3. GET {api}/sys/kr/pricing/quotation/kiss-cut-sticker?width=W&amp;height=H&amp;quantity=10&amp;debug=1.
4. Check success=true, meta.pricing_id, meta.pricing name and data.normalized_nr.
5. Check meta.schema.exact_dimension=true and meta.schema.bounds has exactly one entry with base_area = the CSV area.
6. Compare the stored row (bounds[0].quantities: nr -&gt; price_per_mm) with the CSV row, every quantity column.
7. Automated: npx playwright test tests/e2e/storefront/pricing/price-table.spec.ts -g "MS-PRC-kiss-cut-sticker area".</t>
        </is>
      </c>
      <c r="K79" s="25" t="inlineStr">
        <is>
          <t>For all 147 rows: meta.pricing_id = the id recorded for the environment, meta.pricing matches /^diecut\/kisscut\b/, normalized_nr = 100; the area is an exact stored grid row resolving only to itself; the stored quantity ladder equals the CSV header exactly; every price_per_mm equals the CSV cell (shortest round-trip number comparison, no tolerance). Any mismatching cells are all reported (soft asserts) and attached as price-diff-kiss-cut-sticker-area-&lt;area&gt;.txt.</t>
        </is>
      </c>
      <c r="L79" s="13" t="inlineStr">
        <is>
          <t>Automated</t>
        </is>
      </c>
      <c r="M79" s="25" t="inlineStr">
        <is>
          <t>Production-safe</t>
        </is>
      </c>
      <c r="N79" s="25" t="inlineStr">
        <is>
          <t>None (public read-only API). Cells compared only when E2E_ENVIRONMENT is in csvSources (production); otherwise one skipped placeholder test.</t>
        </is>
      </c>
      <c r="O79" s="25" t="inlineStr">
        <is>
          <t>tests/e2e/storefront/pricing/price-table.spec.ts</t>
        </is>
      </c>
      <c r="P79" s="25" t="inlineStr">
        <is>
          <t>MS-PRC-kiss-cut-sticker area &lt;area&gt; (&lt;W&gt;x&lt;H&gt;) matches stickers/kiss-cut-sticker.csv</t>
        </is>
      </c>
      <c r="Q79" s="25" t="inlineStr">
        <is>
          <t>@api @pricing @regression</t>
        </is>
      </c>
      <c r="R79" s="13" t="n">
        <v>147</v>
      </c>
      <c r="S79" s="25" t="inlineStr">
        <is>
          <t>Price-per-environment registry: tests/fixtures/pricing/pricing-products.ts keys pricingIds by E2E_ENVIRONMENT because the table ids differ AND collide across servers (e.g. id 34 is the no-material sticker-sheet table on static-2 but the PVC table on production). csvSources lists the environments a CSV is a valid rate baseline for; elsewhere the cell/interpolation tests skip with the reason, and an environment with no recorded id skips everything as "unmapped". Rounding: line total = round(price_per_mm x area x quantity, normalized_nr) (100 KRW; 10 KRW for sticker-sheet). Fractional per-unit won prices (e.g. "1매당 8.582원") are accepted business behaviour confirmed with Korean staff, NOT a defect -- only line totals are whole multiples of normalized_nr. Pricing API sits behind the WAF: sporadic HTTP 403 / 502-504 are retried by fetchQuotation (2/4/8/15 s ladder) and, if exhausted, are throttling or gateway availability, not a pricing regression. Counts are from `npx playwright test tests/e2e/storefront/pricing --list` with E2E_ENVIRONMENT=production (2,286 tests in 3 files). kiss-cut-sticker.csv ends at area 546000 in this commit; rows the table holds beyond the CSV are not verified.</t>
        </is>
      </c>
      <c r="T79" s="14" t="inlineStr">
        <is>
          <t>Not Run</t>
        </is>
      </c>
      <c r="U79" s="15" t="n"/>
      <c r="V79" s="15" t="n"/>
      <c r="W79" s="15" t="n"/>
      <c r="X79" s="15" t="n"/>
      <c r="Y79" s="25"/>
    </row>
    <row r="80" ht="150" customHeight="1">
      <c r="A80" s="12" t="inlineStr">
        <is>
          <t>MS-PRC-TBL-oval-roll</t>
        </is>
      </c>
      <c r="B80" s="25" t="inlineStr">
        <is>
          <t>Storefront</t>
        </is>
      </c>
      <c r="C80" s="25" t="inlineStr">
        <is>
          <t>7. Pricing</t>
        </is>
      </c>
      <c r="D80" s="25" t="inlineStr">
        <is>
          <t>Price table</t>
        </is>
      </c>
      <c r="E80" s="25" t="inlineStr">
        <is>
          <t>Every grid row of the oval-roll price table served by the pricing API matches the committed CSV cell for cell.</t>
        </is>
      </c>
      <c r="F80" s="13" t="inlineStr">
        <is>
          <t>High</t>
        </is>
      </c>
      <c r="G80" s="25" t="inlineStr">
        <is>
          <t>Data</t>
        </is>
      </c>
      <c r="H80" s="25" t="inlineStr">
        <is>
          <t>E2E_ENVIRONMENT is one of the csvSources for this product (production) and a pricing table id is recorded for it in pricing-products.ts (production=53, static-2=15). Pricing quotation API reachable (public, no auth).</t>
        </is>
      </c>
      <c r="I80" s="25" t="inlineStr">
        <is>
          <t>CSV: tests/fixtures/pricing/roll-stickers/oval-roll.csv. Grid rows checked: 46 (areas 225 to 57,000 mm2), one API request per row. Quantities compared per row: all 19 rungs (10, 20, 30, 40, 50, 100, 200, 300, 500, 1,000, 2,000, 3,000, 5,000, 10,000, 20,000, 30,000, 50,000, 70,000, 100,000); request is sent with quantity=10. Expected table: pricing_id 53 on production (production=53, static-2=15), name /^(?:diecut\/kisscut roll|Roll)\b/i, normalized_nr 100.</t>
        </is>
      </c>
      <c r="J80" s="25" t="inlineStr">
        <is>
          <t xml:space="preserve">1. Select the environment (e.g. E2E_ENVIRONMENT=production) and open the CSV.
2. For each area row, derive the most-square integer width x height whose product is the area (e.g. 625 -&gt; 25x25).
3. GET {api}/sys/kr/pricing/quotation/oval-roll?width=W&amp;height=H&amp;quantity=10&amp;debug=1.
4. Check success=true, meta.pricing_id, meta.pricing name and data.normalized_nr.
5. Check meta.schema.exact_dimension=true and meta.schema.bounds has exactly one entry with base_area = the CSV area.
6. Compare the stored row (bounds[0].quantities: nr -&gt; price_per_mm) with the CSV row, every quantity column.
7. Automated: npx playwright test tests/e2e/storefront/pricing/price-table.spec.ts -g "MS-PRC-oval-roll area".</t>
        </is>
      </c>
      <c r="K80" s="25" t="inlineStr">
        <is>
          <t>For all 46 rows: meta.pricing_id = the id recorded for the environment, meta.pricing matches /^(?:diecut\/kisscut roll|Roll)\b/i, normalized_nr = 100; the area is an exact stored grid row resolving only to itself; the stored quantity ladder equals the CSV header exactly; every price_per_mm equals the CSV cell (shortest round-trip number comparison, no tolerance). Any mismatching cells are all reported (soft asserts) and attached as price-diff-oval-roll-area-&lt;area&gt;.txt.</t>
        </is>
      </c>
      <c r="L80" s="13" t="inlineStr">
        <is>
          <t>Automated</t>
        </is>
      </c>
      <c r="M80" s="25" t="inlineStr">
        <is>
          <t>Production-safe</t>
        </is>
      </c>
      <c r="N80" s="25" t="inlineStr">
        <is>
          <t>None (public read-only API). Cells compared only when E2E_ENVIRONMENT is in csvSources (production); otherwise one skipped placeholder test.</t>
        </is>
      </c>
      <c r="O80" s="25" t="inlineStr">
        <is>
          <t>tests/e2e/storefront/pricing/price-table.spec.ts</t>
        </is>
      </c>
      <c r="P80" s="25" t="inlineStr">
        <is>
          <t>MS-PRC-oval-roll area &lt;area&gt; (&lt;W&gt;x&lt;H&gt;) matches roll-stickers/oval-roll.csv</t>
        </is>
      </c>
      <c r="Q80" s="25" t="inlineStr">
        <is>
          <t>@api @pricing @regression</t>
        </is>
      </c>
      <c r="R80" s="13" t="n">
        <v>46</v>
      </c>
      <c r="S80" s="25" t="inlineStr">
        <is>
          <t>Price-per-environment registry: tests/fixtures/pricing/pricing-products.ts keys pricingIds by E2E_ENVIRONMENT because the table ids differ AND collide across servers (e.g. id 34 is the no-material sticker-sheet table on static-2 but the PVC table on production). csvSources lists the environments a CSV is a valid rate baseline for; elsewhere the cell/interpolation tests skip with the reason, and an environment with no recorded id skips everything as "unmapped". Rounding: line total = round(price_per_mm x area x quantity, normalized_nr) (100 KRW; 10 KRW for sticker-sheet). Fractional per-unit won prices (e.g. "1매당 8.582원") are accepted business behaviour confirmed with Korean staff, NOT a defect -- only line totals are whole multiples of normalized_nr. Pricing API sits behind the WAF: sporadic HTTP 403 / 502-504 are retried by fetchQuotation (2/4/8/15 s ladder) and, if exhausted, are throttling or gateway availability, not a pricing regression. Counts are from `npx playwright test tests/e2e/storefront/pricing --list` with E2E_ENVIRONMENT=production (2,286 tests in 3 files). Roll CSVs are production-only baselines (production roll tables regenerated 2026-09-10 with a 19-rung ladder up to 100,000); on static-2 (ids 15/16/17, older 14-rung ladder) the cells skip and only MS-PRC-MAP runs.</t>
        </is>
      </c>
      <c r="T80" s="14" t="inlineStr">
        <is>
          <t>Not Run</t>
        </is>
      </c>
      <c r="U80" s="15" t="n"/>
      <c r="V80" s="15" t="n"/>
      <c r="W80" s="15" t="n"/>
      <c r="X80" s="15" t="n"/>
      <c r="Y80" s="25"/>
    </row>
    <row r="81" ht="150" customHeight="1">
      <c r="A81" s="12" t="inlineStr">
        <is>
          <t>MS-PRC-TBL-oval-sticker</t>
        </is>
      </c>
      <c r="B81" s="25" t="inlineStr">
        <is>
          <t>Storefront</t>
        </is>
      </c>
      <c r="C81" s="25" t="inlineStr">
        <is>
          <t>7. Pricing</t>
        </is>
      </c>
      <c r="D81" s="25" t="inlineStr">
        <is>
          <t>Price table</t>
        </is>
      </c>
      <c r="E81" s="25" t="inlineStr">
        <is>
          <t>Every grid row of the oval-sticker price table served by the pricing API matches the committed CSV cell for cell.</t>
        </is>
      </c>
      <c r="F81" s="13" t="inlineStr">
        <is>
          <t>High</t>
        </is>
      </c>
      <c r="G81" s="25" t="inlineStr">
        <is>
          <t>Data</t>
        </is>
      </c>
      <c r="H81" s="25" t="inlineStr">
        <is>
          <t>E2E_ENVIRONMENT is one of the csvSources for this product (production) and a pricing table id is recorded for it in pricing-products.ts (production=48, static-1=51, static-2=25). Pricing quotation API reachable (public, no auth).</t>
        </is>
      </c>
      <c r="I81" s="25" t="inlineStr">
        <is>
          <t>CSV: tests/fixtures/pricing/stickers/oval-sticker.csv. Grid rows checked: 147 (areas 625 to 546,000 mm2), one API request per row. Quantities compared per row: all 19 rungs (10, 20, 30, 40, 50, 100, 200, 300, 500, 1,000, 2,000, 3,000, 5,000, 10,000, 20,000, 30,000, 50,000, 70,000, 100,000); request is sent with quantity=10. Expected table: pricing_id 48 on production (production=48, static-1=51, static-2=25), name /^diecut\/kisscut\b/, normalized_nr 100.</t>
        </is>
      </c>
      <c r="J81" s="25" t="inlineStr">
        <is>
          <t xml:space="preserve">1. Select the environment (e.g. E2E_ENVIRONMENT=production) and open the CSV.
2. For each area row, derive the most-square integer width x height whose product is the area (e.g. 625 -&gt; 25x25).
3. GET {api}/sys/kr/pricing/quotation/oval-sticker?width=W&amp;height=H&amp;quantity=10&amp;debug=1.
4. Check success=true, meta.pricing_id, meta.pricing name and data.normalized_nr.
5. Check meta.schema.exact_dimension=true and meta.schema.bounds has exactly one entry with base_area = the CSV area.
6. Compare the stored row (bounds[0].quantities: nr -&gt; price_per_mm) with the CSV row, every quantity column.
7. Automated: npx playwright test tests/e2e/storefront/pricing/price-table.spec.ts -g "MS-PRC-oval-sticker area".</t>
        </is>
      </c>
      <c r="K81" s="25" t="inlineStr">
        <is>
          <t>For all 147 rows: meta.pricing_id = the id recorded for the environment, meta.pricing matches /^diecut\/kisscut\b/, normalized_nr = 100; the area is an exact stored grid row resolving only to itself; the stored quantity ladder equals the CSV header exactly; every price_per_mm equals the CSV cell (shortest round-trip number comparison, no tolerance). Any mismatching cells are all reported (soft asserts) and attached as price-diff-oval-sticker-area-&lt;area&gt;.txt.</t>
        </is>
      </c>
      <c r="L81" s="13" t="inlineStr">
        <is>
          <t>Automated</t>
        </is>
      </c>
      <c r="M81" s="25" t="inlineStr">
        <is>
          <t>Production-safe</t>
        </is>
      </c>
      <c r="N81" s="25" t="inlineStr">
        <is>
          <t>None (public read-only API). Cells compared only when E2E_ENVIRONMENT is in csvSources (production); otherwise one skipped placeholder test.</t>
        </is>
      </c>
      <c r="O81" s="25" t="inlineStr">
        <is>
          <t>tests/e2e/storefront/pricing/price-table.spec.ts</t>
        </is>
      </c>
      <c r="P81" s="25" t="inlineStr">
        <is>
          <t>MS-PRC-oval-sticker area &lt;area&gt; (&lt;W&gt;x&lt;H&gt;) matches stickers/oval-sticker.csv</t>
        </is>
      </c>
      <c r="Q81" s="25" t="inlineStr">
        <is>
          <t>@api @pricing @regression</t>
        </is>
      </c>
      <c r="R81" s="13" t="n">
        <v>147</v>
      </c>
      <c r="S81" s="25" t="inlineStr">
        <is>
          <t>Price-per-environment registry: tests/fixtures/pricing/pricing-products.ts keys pricingIds by E2E_ENVIRONMENT because the table ids differ AND collide across servers (e.g. id 34 is the no-material sticker-sheet table on static-2 but the PVC table on production). csvSources lists the environments a CSV is a valid rate baseline for; elsewhere the cell/interpolation tests skip with the reason, and an environment with no recorded id skips everything as "unmapped". Rounding: line total = round(price_per_mm x area x quantity, normalized_nr) (100 KRW; 10 KRW for sticker-sheet). Fractional per-unit won prices (e.g. "1매당 8.582원") are accepted business behaviour confirmed with Korean staff, NOT a defect -- only line totals are whole multiples of normalized_nr. Pricing API sits behind the WAF: sporadic HTTP 403 / 502-504 are retried by fetchQuotation (2/4/8/15 s ladder) and, if exhausted, are throttling or gateway availability, not a pricing regression. Counts are from `npx playwright test tests/e2e/storefront/pricing --list` with E2E_ENVIRONMENT=production (2,286 tests in 3 files).</t>
        </is>
      </c>
      <c r="T81" s="14" t="inlineStr">
        <is>
          <t>Not Run</t>
        </is>
      </c>
      <c r="U81" s="15" t="n"/>
      <c r="V81" s="15" t="n"/>
      <c r="W81" s="15" t="n"/>
      <c r="X81" s="15" t="n"/>
      <c r="Y81" s="25"/>
    </row>
    <row r="82" ht="150" customHeight="1">
      <c r="A82" s="12" t="inlineStr">
        <is>
          <t>MS-PRC-TBL-paper-roll</t>
        </is>
      </c>
      <c r="B82" s="25" t="inlineStr">
        <is>
          <t>Storefront</t>
        </is>
      </c>
      <c r="C82" s="25" t="inlineStr">
        <is>
          <t>7. Pricing</t>
        </is>
      </c>
      <c r="D82" s="25" t="inlineStr">
        <is>
          <t>Price table</t>
        </is>
      </c>
      <c r="E82" s="25" t="inlineStr">
        <is>
          <t>Every grid row of the paper-roll price table served by the pricing API matches the committed CSV cell for cell.</t>
        </is>
      </c>
      <c r="F82" s="13" t="inlineStr">
        <is>
          <t>High</t>
        </is>
      </c>
      <c r="G82" s="25" t="inlineStr">
        <is>
          <t>Data</t>
        </is>
      </c>
      <c r="H82" s="25" t="inlineStr">
        <is>
          <t>E2E_ENVIRONMENT is one of the csvSources for this product (production) and a pricing table id is recorded for it in pricing-products.ts (production=55, static-2=17). Pricing quotation API reachable (public, no auth).</t>
        </is>
      </c>
      <c r="I82" s="25" t="inlineStr">
        <is>
          <t>CSV: tests/fixtures/pricing/roll-stickers/paper-roll.csv. Grid rows checked: 46 (areas 225 to 57,000 mm2), one API request per row. Quantities compared per row: all 19 rungs (10, 20, 30, 40, 50, 100, 200, 300, 500, 1,000, 2,000, 3,000, 5,000, 10,000, 20,000, 30,000, 50,000, 70,000, 100,000); request is sent with quantity=10. Expected table: pricing_id 55 on production (production=55, static-2=17), name /^Paper Roll\b/i, normalized_nr 100.</t>
        </is>
      </c>
      <c r="J82" s="25" t="inlineStr">
        <is>
          <t xml:space="preserve">1. Select the environment (e.g. E2E_ENVIRONMENT=production) and open the CSV.
2. For each area row, derive the most-square integer width x height whose product is the area (e.g. 625 -&gt; 25x25).
3. GET {api}/sys/kr/pricing/quotation/paper-roll?width=W&amp;height=H&amp;quantity=10&amp;debug=1.
4. Check success=true, meta.pricing_id, meta.pricing name and data.normalized_nr.
5. Check meta.schema.exact_dimension=true and meta.schema.bounds has exactly one entry with base_area = the CSV area.
6. Compare the stored row (bounds[0].quantities: nr -&gt; price_per_mm) with the CSV row, every quantity column.
7. Automated: npx playwright test tests/e2e/storefront/pricing/price-table.spec.ts -g "MS-PRC-paper-roll area".</t>
        </is>
      </c>
      <c r="K82" s="25" t="inlineStr">
        <is>
          <t>For all 46 rows: meta.pricing_id = the id recorded for the environment, meta.pricing matches /^Paper Roll\b/i, normalized_nr = 100; the area is an exact stored grid row resolving only to itself; the stored quantity ladder equals the CSV header exactly; every price_per_mm equals the CSV cell (shortest round-trip number comparison, no tolerance). Any mismatching cells are all reported (soft asserts) and attached as price-diff-paper-roll-area-&lt;area&gt;.txt.</t>
        </is>
      </c>
      <c r="L82" s="13" t="inlineStr">
        <is>
          <t>Automated</t>
        </is>
      </c>
      <c r="M82" s="25" t="inlineStr">
        <is>
          <t>Production-safe</t>
        </is>
      </c>
      <c r="N82" s="25" t="inlineStr">
        <is>
          <t>None (public read-only API). Cells compared only when E2E_ENVIRONMENT is in csvSources (production); otherwise one skipped placeholder test.</t>
        </is>
      </c>
      <c r="O82" s="25" t="inlineStr">
        <is>
          <t>tests/e2e/storefront/pricing/price-table.spec.ts</t>
        </is>
      </c>
      <c r="P82" s="25" t="inlineStr">
        <is>
          <t>MS-PRC-paper-roll area &lt;area&gt; (&lt;W&gt;x&lt;H&gt;) matches roll-stickers/paper-roll.csv</t>
        </is>
      </c>
      <c r="Q82" s="25" t="inlineStr">
        <is>
          <t>@api @pricing @regression</t>
        </is>
      </c>
      <c r="R82" s="13" t="n">
        <v>46</v>
      </c>
      <c r="S82" s="25" t="inlineStr">
        <is>
          <t>Price-per-environment registry: tests/fixtures/pricing/pricing-products.ts keys pricingIds by E2E_ENVIRONMENT because the table ids differ AND collide across servers (e.g. id 34 is the no-material sticker-sheet table on static-2 but the PVC table on production). csvSources lists the environments a CSV is a valid rate baseline for; elsewhere the cell/interpolation tests skip with the reason, and an environment with no recorded id skips everything as "unmapped". Rounding: line total = round(price_per_mm x area x quantity, normalized_nr) (100 KRW; 10 KRW for sticker-sheet). Fractional per-unit won prices (e.g. "1매당 8.582원") are accepted business behaviour confirmed with Korean staff, NOT a defect -- only line totals are whole multiples of normalized_nr. Pricing API sits behind the WAF: sporadic HTTP 403 / 502-504 are retried by fetchQuotation (2/4/8/15 s ladder) and, if exhausted, are throttling or gateway availability, not a pricing regression. Counts are from `npx playwright test tests/e2e/storefront/pricing --list` with E2E_ENVIRONMENT=production (2,286 tests in 3 files). Roll CSVs are production-only baselines (production roll tables regenerated 2026-09-10 with a 19-rung ladder up to 100,000); on static-2 (ids 15/16/17, older 14-rung ladder) the cells skip and only MS-PRC-MAP runs.</t>
        </is>
      </c>
      <c r="T82" s="14" t="inlineStr">
        <is>
          <t>Not Run</t>
        </is>
      </c>
      <c r="U82" s="15" t="n"/>
      <c r="V82" s="15" t="n"/>
      <c r="W82" s="15" t="n"/>
      <c r="X82" s="15" t="n"/>
      <c r="Y82" s="25"/>
    </row>
    <row r="83" ht="150" customHeight="1">
      <c r="A83" s="12" t="inlineStr">
        <is>
          <t>MS-PRC-TBL-rectangle-roll</t>
        </is>
      </c>
      <c r="B83" s="25" t="inlineStr">
        <is>
          <t>Storefront</t>
        </is>
      </c>
      <c r="C83" s="25" t="inlineStr">
        <is>
          <t>7. Pricing</t>
        </is>
      </c>
      <c r="D83" s="25" t="inlineStr">
        <is>
          <t>Price table</t>
        </is>
      </c>
      <c r="E83" s="25" t="inlineStr">
        <is>
          <t>Every grid row of the rectangle-roll price table served by the pricing API matches the committed CSV cell for cell.</t>
        </is>
      </c>
      <c r="F83" s="13" t="inlineStr">
        <is>
          <t>High</t>
        </is>
      </c>
      <c r="G83" s="25" t="inlineStr">
        <is>
          <t>Data</t>
        </is>
      </c>
      <c r="H83" s="25" t="inlineStr">
        <is>
          <t>E2E_ENVIRONMENT is one of the csvSources for this product (production) and a pricing table id is recorded for it in pricing-products.ts (production=53, static-2=15). Pricing quotation API reachable (public, no auth).</t>
        </is>
      </c>
      <c r="I83" s="25" t="inlineStr">
        <is>
          <t>CSV: tests/fixtures/pricing/roll-stickers/rectangle-roll.csv. Grid rows checked: 46 (areas 225 to 57,000 mm2), one API request per row. Quantities compared per row: all 19 rungs (10, 20, 30, 40, 50, 100, 200, 300, 500, 1,000, 2,000, 3,000, 5,000, 10,000, 20,000, 30,000, 50,000, 70,000, 100,000); request is sent with quantity=10. Expected table: pricing_id 53 on production (production=53, static-2=15), name /^(?:diecut\/kisscut roll|Roll)\b/i, normalized_nr 100.</t>
        </is>
      </c>
      <c r="J83" s="25" t="inlineStr">
        <is>
          <t xml:space="preserve">1. Select the environment (e.g. E2E_ENVIRONMENT=production) and open the CSV.
2. For each area row, derive the most-square integer width x height whose product is the area (e.g. 625 -&gt; 25x25).
3. GET {api}/sys/kr/pricing/quotation/rectangle-roll?width=W&amp;height=H&amp;quantity=10&amp;debug=1.
4. Check success=true, meta.pricing_id, meta.pricing name and data.normalized_nr.
5. Check meta.schema.exact_dimension=true and meta.schema.bounds has exactly one entry with base_area = the CSV area.
6. Compare the stored row (bounds[0].quantities: nr -&gt; price_per_mm) with the CSV row, every quantity column.
7. Automated: npx playwright test tests/e2e/storefront/pricing/price-table.spec.ts -g "MS-PRC-rectangle-roll area".</t>
        </is>
      </c>
      <c r="K83" s="25" t="inlineStr">
        <is>
          <t>For all 46 rows: meta.pricing_id = the id recorded for the environment, meta.pricing matches /^(?:diecut\/kisscut roll|Roll)\b/i, normalized_nr = 100; the area is an exact stored grid row resolving only to itself; the stored quantity ladder equals the CSV header exactly; every price_per_mm equals the CSV cell (shortest round-trip number comparison, no tolerance). Any mismatching cells are all reported (soft asserts) and attached as price-diff-rectangle-roll-area-&lt;area&gt;.txt.</t>
        </is>
      </c>
      <c r="L83" s="13" t="inlineStr">
        <is>
          <t>Automated</t>
        </is>
      </c>
      <c r="M83" s="25" t="inlineStr">
        <is>
          <t>Production-safe</t>
        </is>
      </c>
      <c r="N83" s="25" t="inlineStr">
        <is>
          <t>None (public read-only API). Cells compared only when E2E_ENVIRONMENT is in csvSources (production); otherwise one skipped placeholder test.</t>
        </is>
      </c>
      <c r="O83" s="25" t="inlineStr">
        <is>
          <t>tests/e2e/storefront/pricing/price-table.spec.ts</t>
        </is>
      </c>
      <c r="P83" s="25" t="inlineStr">
        <is>
          <t>MS-PRC-rectangle-roll area &lt;area&gt; (&lt;W&gt;x&lt;H&gt;) matches roll-stickers/rectangle-roll.csv</t>
        </is>
      </c>
      <c r="Q83" s="25" t="inlineStr">
        <is>
          <t>@api @pricing @regression</t>
        </is>
      </c>
      <c r="R83" s="13" t="n">
        <v>46</v>
      </c>
      <c r="S83" s="25" t="inlineStr">
        <is>
          <t>Price-per-environment registry: tests/fixtures/pricing/pricing-products.ts keys pricingIds by E2E_ENVIRONMENT because the table ids differ AND collide across servers (e.g. id 34 is the no-material sticker-sheet table on static-2 but the PVC table on production). csvSources lists the environments a CSV is a valid rate baseline for; elsewhere the cell/interpolation tests skip with the reason, and an environment with no recorded id skips everything as "unmapped". Rounding: line total = round(price_per_mm x area x quantity, normalized_nr) (100 KRW; 10 KRW for sticker-sheet). Fractional per-unit won prices (e.g. "1매당 8.582원") are accepted business behaviour confirmed with Korean staff, NOT a defect -- only line totals are whole multiples of normalized_nr. Pricing API sits behind the WAF: sporadic HTTP 403 / 502-504 are retried by fetchQuotation (2/4/8/15 s ladder) and, if exhausted, are throttling or gateway availability, not a pricing regression. Counts are from `npx playwright test tests/e2e/storefront/pricing --list` with E2E_ENVIRONMENT=production (2,286 tests in 3 files). Roll CSVs are production-only baselines (production roll tables regenerated 2026-09-10 with a 19-rung ladder up to 100,000); on static-2 (ids 15/16/17, older 14-rung ladder) the cells skip and only MS-PRC-MAP runs.</t>
        </is>
      </c>
      <c r="T83" s="14" t="inlineStr">
        <is>
          <t>Not Run</t>
        </is>
      </c>
      <c r="U83" s="15" t="n"/>
      <c r="V83" s="15" t="n"/>
      <c r="W83" s="15" t="n"/>
      <c r="X83" s="15" t="n"/>
      <c r="Y83" s="25"/>
    </row>
    <row r="84" ht="150" customHeight="1">
      <c r="A84" s="12" t="inlineStr">
        <is>
          <t>MS-PRC-TBL-rectangle-sticker</t>
        </is>
      </c>
      <c r="B84" s="25" t="inlineStr">
        <is>
          <t>Storefront</t>
        </is>
      </c>
      <c r="C84" s="25" t="inlineStr">
        <is>
          <t>7. Pricing</t>
        </is>
      </c>
      <c r="D84" s="25" t="inlineStr">
        <is>
          <t>Price table</t>
        </is>
      </c>
      <c r="E84" s="25" t="inlineStr">
        <is>
          <t>Every grid row of the rectangle-sticker price table served by the pricing API matches the committed CSV cell for cell.</t>
        </is>
      </c>
      <c r="F84" s="13" t="inlineStr">
        <is>
          <t>High</t>
        </is>
      </c>
      <c r="G84" s="25" t="inlineStr">
        <is>
          <t>Data</t>
        </is>
      </c>
      <c r="H84" s="25" t="inlineStr">
        <is>
          <t>E2E_ENVIRONMENT is one of the csvSources for this product (production) and a pricing table id is recorded for it in pricing-products.ts (production=48, static-1=51, static-2=25). Pricing quotation API reachable (public, no auth).</t>
        </is>
      </c>
      <c r="I84" s="25" t="inlineStr">
        <is>
          <t>CSV: tests/fixtures/pricing/stickers/rectangle-sticker.csv. Grid rows checked: 147 (areas 625 to 546,000 mm2), one API request per row. Quantities compared per row: all 19 rungs (10, 20, 30, 40, 50, 100, 200, 300, 500, 1,000, 2,000, 3,000, 5,000, 10,000, 20,000, 30,000, 50,000, 70,000, 100,000); request is sent with quantity=10. Expected table: pricing_id 48 on production (production=48, static-1=51, static-2=25), name /^diecut\/kisscut\b/, normalized_nr 100.</t>
        </is>
      </c>
      <c r="J84" s="25" t="inlineStr">
        <is>
          <t xml:space="preserve">1. Select the environment (e.g. E2E_ENVIRONMENT=production) and open the CSV.
2. For each area row, derive the most-square integer width x height whose product is the area (e.g. 625 -&gt; 25x25).
3. GET {api}/sys/kr/pricing/quotation/rectangle-sticker?width=W&amp;height=H&amp;quantity=10&amp;debug=1.
4. Check success=true, meta.pricing_id, meta.pricing name and data.normalized_nr.
5. Check meta.schema.exact_dimension=true and meta.schema.bounds has exactly one entry with base_area = the CSV area.
6. Compare the stored row (bounds[0].quantities: nr -&gt; price_per_mm) with the CSV row, every quantity column.
7. Automated: npx playwright test tests/e2e/storefront/pricing/price-table.spec.ts -g "MS-PRC-rectangle-sticker area".</t>
        </is>
      </c>
      <c r="K84" s="25" t="inlineStr">
        <is>
          <t>For all 147 rows: meta.pricing_id = the id recorded for the environment, meta.pricing matches /^diecut\/kisscut\b/, normalized_nr = 100; the area is an exact stored grid row resolving only to itself; the stored quantity ladder equals the CSV header exactly; every price_per_mm equals the CSV cell (shortest round-trip number comparison, no tolerance). Any mismatching cells are all reported (soft asserts) and attached as price-diff-rectangle-sticker-area-&lt;area&gt;.txt.</t>
        </is>
      </c>
      <c r="L84" s="13" t="inlineStr">
        <is>
          <t>Automated</t>
        </is>
      </c>
      <c r="M84" s="25" t="inlineStr">
        <is>
          <t>Production-safe</t>
        </is>
      </c>
      <c r="N84" s="25" t="inlineStr">
        <is>
          <t>None (public read-only API). Cells compared only when E2E_ENVIRONMENT is in csvSources (production); otherwise one skipped placeholder test.</t>
        </is>
      </c>
      <c r="O84" s="25" t="inlineStr">
        <is>
          <t>tests/e2e/storefront/pricing/price-table.spec.ts</t>
        </is>
      </c>
      <c r="P84" s="25" t="inlineStr">
        <is>
          <t>MS-PRC-rectangle-sticker area &lt;area&gt; (&lt;W&gt;x&lt;H&gt;) matches stickers/rectangle-sticker.csv</t>
        </is>
      </c>
      <c r="Q84" s="25" t="inlineStr">
        <is>
          <t>@api @pricing @regression</t>
        </is>
      </c>
      <c r="R84" s="13" t="n">
        <v>147</v>
      </c>
      <c r="S84" s="25" t="inlineStr">
        <is>
          <t>Price-per-environment registry: tests/fixtures/pricing/pricing-products.ts keys pricingIds by E2E_ENVIRONMENT because the table ids differ AND collide across servers (e.g. id 34 is the no-material sticker-sheet table on static-2 but the PVC table on production). csvSources lists the environments a CSV is a valid rate baseline for; elsewhere the cell/interpolation tests skip with the reason, and an environment with no recorded id skips everything as "unmapped". Rounding: line total = round(price_per_mm x area x quantity, normalized_nr) (100 KRW; 10 KRW for sticker-sheet). Fractional per-unit won prices (e.g. "1매당 8.582원") are accepted business behaviour confirmed with Korean staff, NOT a defect -- only line totals are whole multiples of normalized_nr. Pricing API sits behind the WAF: sporadic HTTP 403 / 502-504 are retried by fetchQuotation (2/4/8/15 s ladder) and, if exhausted, are throttling or gateway availability, not a pricing regression. Counts are from `npx playwright test tests/e2e/storefront/pricing --list` with E2E_ENVIRONMENT=production (2,286 tests in 3 files).</t>
        </is>
      </c>
      <c r="T84" s="14" t="inlineStr">
        <is>
          <t>Not Run</t>
        </is>
      </c>
      <c r="U84" s="15" t="n"/>
      <c r="V84" s="15" t="n"/>
      <c r="W84" s="15" t="n"/>
      <c r="X84" s="15" t="n"/>
      <c r="Y84" s="25"/>
    </row>
    <row r="85" ht="150" customHeight="1">
      <c r="A85" s="12" t="inlineStr">
        <is>
          <t>MS-PRC-TBL-rounded-roll</t>
        </is>
      </c>
      <c r="B85" s="25" t="inlineStr">
        <is>
          <t>Storefront</t>
        </is>
      </c>
      <c r="C85" s="25" t="inlineStr">
        <is>
          <t>7. Pricing</t>
        </is>
      </c>
      <c r="D85" s="25" t="inlineStr">
        <is>
          <t>Price table</t>
        </is>
      </c>
      <c r="E85" s="25" t="inlineStr">
        <is>
          <t>Every grid row of the rounded-roll price table served by the pricing API matches the committed CSV cell for cell.</t>
        </is>
      </c>
      <c r="F85" s="13" t="inlineStr">
        <is>
          <t>High</t>
        </is>
      </c>
      <c r="G85" s="25" t="inlineStr">
        <is>
          <t>Data</t>
        </is>
      </c>
      <c r="H85" s="25" t="inlineStr">
        <is>
          <t>E2E_ENVIRONMENT is one of the csvSources for this product (production) and a pricing table id is recorded for it in pricing-products.ts (production=53, static-2=15). Pricing quotation API reachable (public, no auth).</t>
        </is>
      </c>
      <c r="I85" s="25" t="inlineStr">
        <is>
          <t>CSV: tests/fixtures/pricing/roll-stickers/rounded-roll.csv. Grid rows checked: 46 (areas 225 to 57,000 mm2), one API request per row. Quantities compared per row: all 19 rungs (10, 20, 30, 40, 50, 100, 200, 300, 500, 1,000, 2,000, 3,000, 5,000, 10,000, 20,000, 30,000, 50,000, 70,000, 100,000); request is sent with quantity=10. Expected table: pricing_id 53 on production (production=53, static-2=15), name /^(?:diecut\/kisscut roll|Roll)\b/i, normalized_nr 100.</t>
        </is>
      </c>
      <c r="J85" s="25" t="inlineStr">
        <is>
          <t xml:space="preserve">1. Select the environment (e.g. E2E_ENVIRONMENT=production) and open the CSV.
2. For each area row, derive the most-square integer width x height whose product is the area (e.g. 625 -&gt; 25x25).
3. GET {api}/sys/kr/pricing/quotation/rounded-roll?width=W&amp;height=H&amp;quantity=10&amp;debug=1.
4. Check success=true, meta.pricing_id, meta.pricing name and data.normalized_nr.
5. Check meta.schema.exact_dimension=true and meta.schema.bounds has exactly one entry with base_area = the CSV area.
6. Compare the stored row (bounds[0].quantities: nr -&gt; price_per_mm) with the CSV row, every quantity column.
7. Automated: npx playwright test tests/e2e/storefront/pricing/price-table.spec.ts -g "MS-PRC-rounded-roll area".</t>
        </is>
      </c>
      <c r="K85" s="25" t="inlineStr">
        <is>
          <t>For all 46 rows: meta.pricing_id = the id recorded for the environment, meta.pricing matches /^(?:diecut\/kisscut roll|Roll)\b/i, normalized_nr = 100; the area is an exact stored grid row resolving only to itself; the stored quantity ladder equals the CSV header exactly; every price_per_mm equals the CSV cell (shortest round-trip number comparison, no tolerance). Any mismatching cells are all reported (soft asserts) and attached as price-diff-rounded-roll-area-&lt;area&gt;.txt.</t>
        </is>
      </c>
      <c r="L85" s="13" t="inlineStr">
        <is>
          <t>Automated</t>
        </is>
      </c>
      <c r="M85" s="25" t="inlineStr">
        <is>
          <t>Production-safe</t>
        </is>
      </c>
      <c r="N85" s="25" t="inlineStr">
        <is>
          <t>None (public read-only API). Cells compared only when E2E_ENVIRONMENT is in csvSources (production); otherwise one skipped placeholder test.</t>
        </is>
      </c>
      <c r="O85" s="25" t="inlineStr">
        <is>
          <t>tests/e2e/storefront/pricing/price-table.spec.ts</t>
        </is>
      </c>
      <c r="P85" s="25" t="inlineStr">
        <is>
          <t>MS-PRC-rounded-roll area &lt;area&gt; (&lt;W&gt;x&lt;H&gt;) matches roll-stickers/rounded-roll.csv</t>
        </is>
      </c>
      <c r="Q85" s="25" t="inlineStr">
        <is>
          <t>@api @pricing @regression</t>
        </is>
      </c>
      <c r="R85" s="13" t="n">
        <v>46</v>
      </c>
      <c r="S85" s="25" t="inlineStr">
        <is>
          <t>Price-per-environment registry: tests/fixtures/pricing/pricing-products.ts keys pricingIds by E2E_ENVIRONMENT because the table ids differ AND collide across servers (e.g. id 34 is the no-material sticker-sheet table on static-2 but the PVC table on production). csvSources lists the environments a CSV is a valid rate baseline for; elsewhere the cell/interpolation tests skip with the reason, and an environment with no recorded id skips everything as "unmapped". Rounding: line total = round(price_per_mm x area x quantity, normalized_nr) (100 KRW; 10 KRW for sticker-sheet). Fractional per-unit won prices (e.g. "1매당 8.582원") are accepted business behaviour confirmed with Korean staff, NOT a defect -- only line totals are whole multiples of normalized_nr. Pricing API sits behind the WAF: sporadic HTTP 403 / 502-504 are retried by fetchQuotation (2/4/8/15 s ladder) and, if exhausted, are throttling or gateway availability, not a pricing regression. Counts are from `npx playwright test tests/e2e/storefront/pricing --list` with E2E_ENVIRONMENT=production (2,286 tests in 3 files). Roll CSVs are production-only baselines (production roll tables regenerated 2026-09-10 with a 19-rung ladder up to 100,000); on static-2 (ids 15/16/17, older 14-rung ladder) the cells skip and only MS-PRC-MAP runs.</t>
        </is>
      </c>
      <c r="T85" s="14" t="inlineStr">
        <is>
          <t>Not Run</t>
        </is>
      </c>
      <c r="U85" s="15" t="n"/>
      <c r="V85" s="15" t="n"/>
      <c r="W85" s="15" t="n"/>
      <c r="X85" s="15" t="n"/>
      <c r="Y85" s="25"/>
    </row>
    <row r="86" ht="150" customHeight="1">
      <c r="A86" s="12" t="inlineStr">
        <is>
          <t>MS-PRC-TBL-rounded-sticker</t>
        </is>
      </c>
      <c r="B86" s="25" t="inlineStr">
        <is>
          <t>Storefront</t>
        </is>
      </c>
      <c r="C86" s="25" t="inlineStr">
        <is>
          <t>7. Pricing</t>
        </is>
      </c>
      <c r="D86" s="25" t="inlineStr">
        <is>
          <t>Price table</t>
        </is>
      </c>
      <c r="E86" s="25" t="inlineStr">
        <is>
          <t>Every grid row of the rounded-sticker price table served by the pricing API matches the committed CSV cell for cell.</t>
        </is>
      </c>
      <c r="F86" s="13" t="inlineStr">
        <is>
          <t>High</t>
        </is>
      </c>
      <c r="G86" s="25" t="inlineStr">
        <is>
          <t>Data</t>
        </is>
      </c>
      <c r="H86" s="25" t="inlineStr">
        <is>
          <t>E2E_ENVIRONMENT is one of the csvSources for this product (production) and a pricing table id is recorded for it in pricing-products.ts (production=48, static-1=51, static-2=25). Pricing quotation API reachable (public, no auth).</t>
        </is>
      </c>
      <c r="I86" s="25" t="inlineStr">
        <is>
          <t>CSV: tests/fixtures/pricing/stickers/rounded-sticker.csv. Grid rows checked: 147 (areas 625 to 546,000 mm2), one API request per row. Quantities compared per row: all 19 rungs (10, 20, 30, 40, 50, 100, 200, 300, 500, 1,000, 2,000, 3,000, 5,000, 10,000, 20,000, 30,000, 50,000, 70,000, 100,000); request is sent with quantity=10. Expected table: pricing_id 48 on production (production=48, static-1=51, static-2=25), name /^diecut\/kisscut\b/, normalized_nr 100.</t>
        </is>
      </c>
      <c r="J86" s="25" t="inlineStr">
        <is>
          <t xml:space="preserve">1. Select the environment (e.g. E2E_ENVIRONMENT=production) and open the CSV.
2. For each area row, derive the most-square integer width x height whose product is the area (e.g. 625 -&gt; 25x25).
3. GET {api}/sys/kr/pricing/quotation/rounded-sticker?width=W&amp;height=H&amp;quantity=10&amp;debug=1.
4. Check success=true, meta.pricing_id, meta.pricing name and data.normalized_nr.
5. Check meta.schema.exact_dimension=true and meta.schema.bounds has exactly one entry with base_area = the CSV area.
6. Compare the stored row (bounds[0].quantities: nr -&gt; price_per_mm) with the CSV row, every quantity column.
7. Automated: npx playwright test tests/e2e/storefront/pricing/price-table.spec.ts -g "MS-PRC-rounded-sticker area".</t>
        </is>
      </c>
      <c r="K86" s="25" t="inlineStr">
        <is>
          <t>For all 147 rows: meta.pricing_id = the id recorded for the environment, meta.pricing matches /^diecut\/kisscut\b/, normalized_nr = 100; the area is an exact stored grid row resolving only to itself; the stored quantity ladder equals the CSV header exactly; every price_per_mm equals the CSV cell (shortest round-trip number comparison, no tolerance). Any mismatching cells are all reported (soft asserts) and attached as price-diff-rounded-sticker-area-&lt;area&gt;.txt.</t>
        </is>
      </c>
      <c r="L86" s="13" t="inlineStr">
        <is>
          <t>Automated</t>
        </is>
      </c>
      <c r="M86" s="25" t="inlineStr">
        <is>
          <t>Production-safe</t>
        </is>
      </c>
      <c r="N86" s="25" t="inlineStr">
        <is>
          <t>None (public read-only API). Cells compared only when E2E_ENVIRONMENT is in csvSources (production); otherwise one skipped placeholder test.</t>
        </is>
      </c>
      <c r="O86" s="25" t="inlineStr">
        <is>
          <t>tests/e2e/storefront/pricing/price-table.spec.ts</t>
        </is>
      </c>
      <c r="P86" s="25" t="inlineStr">
        <is>
          <t>MS-PRC-rounded-sticker area &lt;area&gt; (&lt;W&gt;x&lt;H&gt;) matches stickers/rounded-sticker.csv</t>
        </is>
      </c>
      <c r="Q86" s="25" t="inlineStr">
        <is>
          <t>@api @pricing @regression</t>
        </is>
      </c>
      <c r="R86" s="13" t="n">
        <v>147</v>
      </c>
      <c r="S86" s="25" t="inlineStr">
        <is>
          <t>Price-per-environment registry: tests/fixtures/pricing/pricing-products.ts keys pricingIds by E2E_ENVIRONMENT because the table ids differ AND collide across servers (e.g. id 34 is the no-material sticker-sheet table on static-2 but the PVC table on production). csvSources lists the environments a CSV is a valid rate baseline for; elsewhere the cell/interpolation tests skip with the reason, and an environment with no recorded id skips everything as "unmapped". Rounding: line total = round(price_per_mm x area x quantity, normalized_nr) (100 KRW; 10 KRW for sticker-sheet). Fractional per-unit won prices (e.g. "1매당 8.582원") are accepted business behaviour confirmed with Korean staff, NOT a defect -- only line totals are whole multiples of normalized_nr. Pricing API sits behind the WAF: sporadic HTTP 403 / 502-504 are retried by fetchQuotation (2/4/8/15 s ladder) and, if exhausted, are throttling or gateway availability, not a pricing regression. Counts are from `npx playwright test tests/e2e/storefront/pricing --list` with E2E_ENVIRONMENT=production (2,286 tests in 3 files).</t>
        </is>
      </c>
      <c r="T86" s="14" t="inlineStr">
        <is>
          <t>Not Run</t>
        </is>
      </c>
      <c r="U86" s="15" t="n"/>
      <c r="V86" s="15" t="n"/>
      <c r="W86" s="15" t="n"/>
      <c r="X86" s="15" t="n"/>
      <c r="Y86" s="25"/>
    </row>
    <row r="87" ht="150" customHeight="1">
      <c r="A87" s="12" t="inlineStr">
        <is>
          <t>MS-PRC-TBL-square-roll</t>
        </is>
      </c>
      <c r="B87" s="25" t="inlineStr">
        <is>
          <t>Storefront</t>
        </is>
      </c>
      <c r="C87" s="25" t="inlineStr">
        <is>
          <t>7. Pricing</t>
        </is>
      </c>
      <c r="D87" s="25" t="inlineStr">
        <is>
          <t>Price table</t>
        </is>
      </c>
      <c r="E87" s="25" t="inlineStr">
        <is>
          <t>Every grid row of the square-roll price table served by the pricing API matches the committed CSV cell for cell.</t>
        </is>
      </c>
      <c r="F87" s="13" t="inlineStr">
        <is>
          <t>High</t>
        </is>
      </c>
      <c r="G87" s="25" t="inlineStr">
        <is>
          <t>Data</t>
        </is>
      </c>
      <c r="H87" s="25" t="inlineStr">
        <is>
          <t>E2E_ENVIRONMENT is one of the csvSources for this product (production) and a pricing table id is recorded for it in pricing-products.ts (production=53, static-2=15). Pricing quotation API reachable (public, no auth).</t>
        </is>
      </c>
      <c r="I87" s="25" t="inlineStr">
        <is>
          <t>CSV: tests/fixtures/pricing/roll-stickers/square-roll.csv. Grid rows checked: 46 (areas 225 to 57,000 mm2), one API request per row. Quantities compared per row: all 19 rungs (10, 20, 30, 40, 50, 100, 200, 300, 500, 1,000, 2,000, 3,000, 5,000, 10,000, 20,000, 30,000, 50,000, 70,000, 100,000); request is sent with quantity=10. Expected table: pricing_id 53 on production (production=53, static-2=15), name /^(?:diecut\/kisscut roll|Roll)\b/i, normalized_nr 100.</t>
        </is>
      </c>
      <c r="J87" s="25" t="inlineStr">
        <is>
          <t xml:space="preserve">1. Select the environment (e.g. E2E_ENVIRONMENT=production) and open the CSV.
2. For each area row, derive the most-square integer width x height whose product is the area (e.g. 625 -&gt; 25x25).
3. GET {api}/sys/kr/pricing/quotation/square-roll?width=W&amp;height=H&amp;quantity=10&amp;debug=1.
4. Check success=true, meta.pricing_id, meta.pricing name and data.normalized_nr.
5. Check meta.schema.exact_dimension=true and meta.schema.bounds has exactly one entry with base_area = the CSV area.
6. Compare the stored row (bounds[0].quantities: nr -&gt; price_per_mm) with the CSV row, every quantity column.
7. Automated: npx playwright test tests/e2e/storefront/pricing/price-table.spec.ts -g "MS-PRC-square-roll area".</t>
        </is>
      </c>
      <c r="K87" s="25" t="inlineStr">
        <is>
          <t>For all 46 rows: meta.pricing_id = the id recorded for the environment, meta.pricing matches /^(?:diecut\/kisscut roll|Roll)\b/i, normalized_nr = 100; the area is an exact stored grid row resolving only to itself; the stored quantity ladder equals the CSV header exactly; every price_per_mm equals the CSV cell (shortest round-trip number comparison, no tolerance). Any mismatching cells are all reported (soft asserts) and attached as price-diff-square-roll-area-&lt;area&gt;.txt.</t>
        </is>
      </c>
      <c r="L87" s="13" t="inlineStr">
        <is>
          <t>Automated</t>
        </is>
      </c>
      <c r="M87" s="25" t="inlineStr">
        <is>
          <t>Production-safe</t>
        </is>
      </c>
      <c r="N87" s="25" t="inlineStr">
        <is>
          <t>None (public read-only API). Cells compared only when E2E_ENVIRONMENT is in csvSources (production); otherwise one skipped placeholder test.</t>
        </is>
      </c>
      <c r="O87" s="25" t="inlineStr">
        <is>
          <t>tests/e2e/storefront/pricing/price-table.spec.ts</t>
        </is>
      </c>
      <c r="P87" s="25" t="inlineStr">
        <is>
          <t>MS-PRC-square-roll area &lt;area&gt; (&lt;W&gt;x&lt;H&gt;) matches roll-stickers/square-roll.csv</t>
        </is>
      </c>
      <c r="Q87" s="25" t="inlineStr">
        <is>
          <t>@api @pricing @regression</t>
        </is>
      </c>
      <c r="R87" s="13" t="n">
        <v>46</v>
      </c>
      <c r="S87" s="25" t="inlineStr">
        <is>
          <t>Price-per-environment registry: tests/fixtures/pricing/pricing-products.ts keys pricingIds by E2E_ENVIRONMENT because the table ids differ AND collide across servers (e.g. id 34 is the no-material sticker-sheet table on static-2 but the PVC table on production). csvSources lists the environments a CSV is a valid rate baseline for; elsewhere the cell/interpolation tests skip with the reason, and an environment with no recorded id skips everything as "unmapped". Rounding: line total = round(price_per_mm x area x quantity, normalized_nr) (100 KRW; 10 KRW for sticker-sheet). Fractional per-unit won prices (e.g. "1매당 8.582원") are accepted business behaviour confirmed with Korean staff, NOT a defect -- only line totals are whole multiples of normalized_nr. Pricing API sits behind the WAF: sporadic HTTP 403 / 502-504 are retried by fetchQuotation (2/4/8/15 s ladder) and, if exhausted, are throttling or gateway availability, not a pricing regression. Counts are from `npx playwright test tests/e2e/storefront/pricing --list` with E2E_ENVIRONMENT=production (2,286 tests in 3 files). Roll CSVs are production-only baselines (production roll tables regenerated 2026-09-10 with a 19-rung ladder up to 100,000); on static-2 (ids 15/16/17, older 14-rung ladder) the cells skip and only MS-PRC-MAP runs.</t>
        </is>
      </c>
      <c r="T87" s="14" t="inlineStr">
        <is>
          <t>Not Run</t>
        </is>
      </c>
      <c r="U87" s="15" t="n"/>
      <c r="V87" s="15" t="n"/>
      <c r="W87" s="15" t="n"/>
      <c r="X87" s="15" t="n"/>
      <c r="Y87" s="25"/>
    </row>
    <row r="88" ht="150" customHeight="1">
      <c r="A88" s="12" t="inlineStr">
        <is>
          <t>MS-PRC-TBL-square-sticker</t>
        </is>
      </c>
      <c r="B88" s="25" t="inlineStr">
        <is>
          <t>Storefront</t>
        </is>
      </c>
      <c r="C88" s="25" t="inlineStr">
        <is>
          <t>7. Pricing</t>
        </is>
      </c>
      <c r="D88" s="25" t="inlineStr">
        <is>
          <t>Price table</t>
        </is>
      </c>
      <c r="E88" s="25" t="inlineStr">
        <is>
          <t>Every grid row of the square-sticker price table served by the pricing API matches the committed CSV cell for cell.</t>
        </is>
      </c>
      <c r="F88" s="13" t="inlineStr">
        <is>
          <t>High</t>
        </is>
      </c>
      <c r="G88" s="25" t="inlineStr">
        <is>
          <t>Data</t>
        </is>
      </c>
      <c r="H88" s="25" t="inlineStr">
        <is>
          <t>E2E_ENVIRONMENT is one of the csvSources for this product (production) and a pricing table id is recorded for it in pricing-products.ts (production=48, static-1=51, static-2=25). Pricing quotation API reachable (public, no auth).</t>
        </is>
      </c>
      <c r="I88" s="25" t="inlineStr">
        <is>
          <t>CSV: tests/fixtures/pricing/stickers/square-sticker.csv. Grid rows checked: 147 (areas 625 to 546,000 mm2), one API request per row. Quantities compared per row: all 19 rungs (10, 20, 30, 40, 50, 100, 200, 300, 500, 1,000, 2,000, 3,000, 5,000, 10,000, 20,000, 30,000, 50,000, 70,000, 100,000); request is sent with quantity=10. Expected table: pricing_id 48 on production (production=48, static-1=51, static-2=25), name /^diecut\/kisscut\b/, normalized_nr 100.</t>
        </is>
      </c>
      <c r="J88" s="25" t="inlineStr">
        <is>
          <t xml:space="preserve">1. Select the environment (e.g. E2E_ENVIRONMENT=production) and open the CSV.
2. For each area row, derive the most-square integer width x height whose product is the area (e.g. 625 -&gt; 25x25).
3. GET {api}/sys/kr/pricing/quotation/square-sticker?width=W&amp;height=H&amp;quantity=10&amp;debug=1.
4. Check success=true, meta.pricing_id, meta.pricing name and data.normalized_nr.
5. Check meta.schema.exact_dimension=true and meta.schema.bounds has exactly one entry with base_area = the CSV area.
6. Compare the stored row (bounds[0].quantities: nr -&gt; price_per_mm) with the CSV row, every quantity column.
7. Automated: npx playwright test tests/e2e/storefront/pricing/price-table.spec.ts -g "MS-PRC-square-sticker area".</t>
        </is>
      </c>
      <c r="K88" s="25" t="inlineStr">
        <is>
          <t>For all 147 rows: meta.pricing_id = the id recorded for the environment, meta.pricing matches /^diecut\/kisscut\b/, normalized_nr = 100; the area is an exact stored grid row resolving only to itself; the stored quantity ladder equals the CSV header exactly; every price_per_mm equals the CSV cell (shortest round-trip number comparison, no tolerance). Any mismatching cells are all reported (soft asserts) and attached as price-diff-square-sticker-area-&lt;area&gt;.txt.</t>
        </is>
      </c>
      <c r="L88" s="13" t="inlineStr">
        <is>
          <t>Automated</t>
        </is>
      </c>
      <c r="M88" s="25" t="inlineStr">
        <is>
          <t>Production-safe</t>
        </is>
      </c>
      <c r="N88" s="25" t="inlineStr">
        <is>
          <t>None (public read-only API). Cells compared only when E2E_ENVIRONMENT is in csvSources (production); otherwise one skipped placeholder test.</t>
        </is>
      </c>
      <c r="O88" s="25" t="inlineStr">
        <is>
          <t>tests/e2e/storefront/pricing/price-table.spec.ts</t>
        </is>
      </c>
      <c r="P88" s="25" t="inlineStr">
        <is>
          <t>MS-PRC-square-sticker area &lt;area&gt; (&lt;W&gt;x&lt;H&gt;) matches stickers/square-sticker.csv</t>
        </is>
      </c>
      <c r="Q88" s="25" t="inlineStr">
        <is>
          <t>@api @pricing @regression</t>
        </is>
      </c>
      <c r="R88" s="13" t="n">
        <v>147</v>
      </c>
      <c r="S88" s="25" t="inlineStr">
        <is>
          <t>Price-per-environment registry: tests/fixtures/pricing/pricing-products.ts keys pricingIds by E2E_ENVIRONMENT because the table ids differ AND collide across servers (e.g. id 34 is the no-material sticker-sheet table on static-2 but the PVC table on production). csvSources lists the environments a CSV is a valid rate baseline for; elsewhere the cell/interpolation tests skip with the reason, and an environment with no recorded id skips everything as "unmapped". Rounding: line total = round(price_per_mm x area x quantity, normalized_nr) (100 KRW; 10 KRW for sticker-sheet). Fractional per-unit won prices (e.g. "1매당 8.582원") are accepted business behaviour confirmed with Korean staff, NOT a defect -- only line totals are whole multiples of normalized_nr. Pricing API sits behind the WAF: sporadic HTTP 403 / 502-504 are retried by fetchQuotation (2/4/8/15 s ladder) and, if exhausted, are throttling or gateway availability, not a pricing regression. Counts are from `npx playwright test tests/e2e/storefront/pricing --list` with E2E_ENVIRONMENT=production (2,286 tests in 3 files).</t>
        </is>
      </c>
      <c r="T88" s="14" t="inlineStr">
        <is>
          <t>Not Run</t>
        </is>
      </c>
      <c r="U88" s="15" t="n"/>
      <c r="V88" s="15" t="n"/>
      <c r="W88" s="15" t="n"/>
      <c r="X88" s="15" t="n"/>
      <c r="Y88" s="25"/>
    </row>
    <row r="89" ht="150" customHeight="1">
      <c r="A89" s="12" t="inlineStr">
        <is>
          <t>MS-PRC-TBL-sticker-sheet</t>
        </is>
      </c>
      <c r="B89" s="25" t="inlineStr">
        <is>
          <t>Storefront</t>
        </is>
      </c>
      <c r="C89" s="25" t="inlineStr">
        <is>
          <t>7. Pricing</t>
        </is>
      </c>
      <c r="D89" s="25" t="inlineStr">
        <is>
          <t>Price table</t>
        </is>
      </c>
      <c r="E89" s="25" t="inlineStr">
        <is>
          <t>Every grid row of the sticker-sheet price table served by the pricing API matches the committed CSV cell for cell.</t>
        </is>
      </c>
      <c r="F89" s="13" t="inlineStr">
        <is>
          <t>High</t>
        </is>
      </c>
      <c r="G89" s="25" t="inlineStr">
        <is>
          <t>Data</t>
        </is>
      </c>
      <c r="H89" s="25" t="inlineStr">
        <is>
          <t>E2E_ENVIRONMENT is one of the csvSources for this product (production, static-2) and a pricing table id is recorded for it in pricing-products.ts (production=33, static-2=34). Pricing quotation API reachable (public, no auth).</t>
        </is>
      </c>
      <c r="I89" s="25" t="inlineStr">
        <is>
          <t>CSV: tests/fixtures/pricing/stickers/sticker-sheet-pvc.csv. Grid rows checked: 153 (areas 2,500 to 1,000,000 mm2), one API request per row. Quantities compared per row: all 14 rungs (10, 20, 30, 40, 50, 100, 200, 300, 500, 1,000, 2,000, 3,000, 5,000, 10,000); request is sent with quantity=10. Expected table: pricing_id 33 on production (production=33, static-2=34), name /^(?:Sticker|Custom) Sheet\b/, normalized_nr 10.</t>
        </is>
      </c>
      <c r="J89" s="25" t="inlineStr">
        <is>
          <t xml:space="preserve">1. Select the environment (e.g. E2E_ENVIRONMENT=production) and open the CSV.
2. For each area row, derive the most-square integer width x height whose product is the area (e.g. 625 -&gt; 25x25).
3. GET {api}/sys/kr/pricing/quotation/sticker-sheet?width=W&amp;height=H&amp;quantity=10&amp;debug=1.
4. Check success=true, meta.pricing_id, meta.pricing name and data.normalized_nr.
5. Check meta.schema.exact_dimension=true and meta.schema.bounds has exactly one entry with base_area = the CSV area.
6. Compare the stored row (bounds[0].quantities: nr -&gt; price_per_mm) with the CSV row, every quantity column.
7. Automated: npx playwright test tests/e2e/storefront/pricing/price-table.spec.ts -g "MS-PRC-sticker-sheet area".</t>
        </is>
      </c>
      <c r="K89" s="25" t="inlineStr">
        <is>
          <t>For all 153 rows: meta.pricing_id = the id recorded for the environment, meta.pricing matches /^(?:Sticker|Custom) Sheet\b/, normalized_nr = 10; the area is an exact stored grid row resolving only to itself; the stored quantity ladder equals the CSV header exactly; every price_per_mm equals the CSV cell (shortest round-trip number comparison, no tolerance). Any mismatching cells are all reported (soft asserts) and attached as price-diff-sticker-sheet-area-&lt;area&gt;.txt.</t>
        </is>
      </c>
      <c r="L89" s="13" t="inlineStr">
        <is>
          <t>Automated</t>
        </is>
      </c>
      <c r="M89" s="25" t="inlineStr">
        <is>
          <t>Production-safe</t>
        </is>
      </c>
      <c r="N89" s="25" t="inlineStr">
        <is>
          <t>None (public read-only API). Cells compared only when E2E_ENVIRONMENT is in csvSources (production, static-2); otherwise one skipped placeholder test.</t>
        </is>
      </c>
      <c r="O89" s="25" t="inlineStr">
        <is>
          <t>tests/e2e/storefront/pricing/price-table.spec.ts</t>
        </is>
      </c>
      <c r="P89" s="25" t="inlineStr">
        <is>
          <t>MS-PRC-sticker-sheet area &lt;area&gt; (&lt;W&gt;x&lt;H&gt;) matches stickers/sticker-sheet-pvc.csv</t>
        </is>
      </c>
      <c r="Q89" s="25" t="inlineStr">
        <is>
          <t>@api @pricing @regression</t>
        </is>
      </c>
      <c r="R89" s="13" t="n">
        <v>153</v>
      </c>
      <c r="S89" s="25" t="inlineStr">
        <is>
          <t>Price-per-environment registry: tests/fixtures/pricing/pricing-products.ts keys pricingIds by E2E_ENVIRONMENT because the table ids differ AND collide across servers (e.g. id 34 is the no-material sticker-sheet table on static-2 but the PVC table on production). csvSources lists the environments a CSV is a valid rate baseline for; elsewhere the cell/interpolation tests skip with the reason, and an environment with no recorded id skips everything as "unmapped". Rounding: line total = round(price_per_mm x area x quantity, normalized_nr) (100 KRW; 10 KRW for sticker-sheet). Fractional per-unit won prices (e.g. "1매당 8.582원") are accepted business behaviour confirmed with Korean staff, NOT a defect -- only line totals are whole multiples of normalized_nr. Pricing API sits behind the WAF: sporadic HTTP 403 / 502-504 are retried by fetchQuotation (2/4/8/15 s ladder) and, if exhausted, are throttling or gateway availability, not a pricing regression. Counts are from `npx playwright test tests/e2e/storefront/pricing --list` with E2E_ENVIRONMENT=production (2,286 tests in 3 files). sticker-sheet is quoted WITHOUT material_id, which production resolves to table 33 (byte-identical to the PVC table 34), so sticker-sheet-pvc.csv is the baseline; the transparent/hologram CSVs are committed but not wired (one registry row cannot express same slug, different material).</t>
        </is>
      </c>
      <c r="T89" s="14" t="inlineStr">
        <is>
          <t>Not Run</t>
        </is>
      </c>
      <c r="U89" s="15" t="n"/>
      <c r="V89" s="15" t="n"/>
      <c r="W89" s="15" t="n"/>
      <c r="X89" s="15" t="n"/>
      <c r="Y89" s="25"/>
    </row>
    <row r="90" ht="150" customHeight="1">
      <c r="A90" s="12" t="inlineStr">
        <is>
          <t>MS-PRC-TBL-transfer-sticker</t>
        </is>
      </c>
      <c r="B90" s="25" t="inlineStr">
        <is>
          <t>Storefront</t>
        </is>
      </c>
      <c r="C90" s="25" t="inlineStr">
        <is>
          <t>7. Pricing</t>
        </is>
      </c>
      <c r="D90" s="25" t="inlineStr">
        <is>
          <t>Price table</t>
        </is>
      </c>
      <c r="E90" s="25" t="inlineStr">
        <is>
          <t>Every grid row of the transfer-sticker price table served by the pricing API matches the committed CSV cell for cell.</t>
        </is>
      </c>
      <c r="F90" s="13" t="inlineStr">
        <is>
          <t>High</t>
        </is>
      </c>
      <c r="G90" s="25" t="inlineStr">
        <is>
          <t>Data</t>
        </is>
      </c>
      <c r="H90" s="25" t="inlineStr">
        <is>
          <t>E2E_ENVIRONMENT is one of the csvSources for this product (production) and a pricing table id is recorded for it in pricing-products.ts (production=72, static-2=11). Pricing quotation API reachable (public, no auth).</t>
        </is>
      </c>
      <c r="I90" s="25" t="inlineStr">
        <is>
          <t>CSV: tests/fixtures/pricing/stickers/transfer-sticker.csv. Grid rows checked: 127 (areas 900 to 435,600 mm2), one API request per row. Quantities compared per row: all 13 rungs (1, 2, 5, 10, 50, 100, 200, 300, 500, 1,000, 2,000, 3,000, 5,000); request is sent with quantity=1. Expected table: pricing_id 72 on production (production=72, static-2=11), name /^Transfer\b/, normalized_nr 100.</t>
        </is>
      </c>
      <c r="J90" s="25" t="inlineStr">
        <is>
          <t xml:space="preserve">1. Select the environment (e.g. E2E_ENVIRONMENT=production) and open the CSV.
2. For each area row, derive the most-square integer width x height whose product is the area (e.g. 625 -&gt; 25x25).
3. GET {api}/sys/kr/pricing/quotation/transfer-sticker?width=W&amp;height=H&amp;quantity=1&amp;debug=1.
4. Check success=true, meta.pricing_id, meta.pricing name and data.normalized_nr.
5. Check meta.schema.exact_dimension=true and meta.schema.bounds has exactly one entry with base_area = the CSV area.
6. Compare the stored row (bounds[0].quantities: nr -&gt; price_per_mm) with the CSV row, every quantity column.
7. Automated: npx playwright test tests/e2e/storefront/pricing/price-table.spec.ts -g "MS-PRC-transfer-sticker area".</t>
        </is>
      </c>
      <c r="K90" s="25" t="inlineStr">
        <is>
          <t>For all 127 rows: meta.pricing_id = the id recorded for the environment, meta.pricing matches /^Transfer\b/, normalized_nr = 100; the area is an exact stored grid row resolving only to itself; the stored quantity ladder equals the CSV header exactly; every price_per_mm equals the CSV cell (shortest round-trip number comparison, no tolerance). Any mismatching cells are all reported (soft asserts) and attached as price-diff-transfer-sticker-area-&lt;area&gt;.txt.</t>
        </is>
      </c>
      <c r="L90" s="13" t="inlineStr">
        <is>
          <t>Automated</t>
        </is>
      </c>
      <c r="M90" s="25" t="inlineStr">
        <is>
          <t>Production-safe</t>
        </is>
      </c>
      <c r="N90" s="25" t="inlineStr">
        <is>
          <t>None (public read-only API). Cells compared only when E2E_ENVIRONMENT is in csvSources (production); otherwise one skipped placeholder test.</t>
        </is>
      </c>
      <c r="O90" s="25" t="inlineStr">
        <is>
          <t>tests/e2e/storefront/pricing/price-table.spec.ts</t>
        </is>
      </c>
      <c r="P90" s="25" t="inlineStr">
        <is>
          <t>MS-PRC-transfer-sticker area &lt;area&gt; (&lt;W&gt;x&lt;H&gt;) matches stickers/transfer-sticker.csv</t>
        </is>
      </c>
      <c r="Q90" s="25" t="inlineStr">
        <is>
          <t>@api @pricing @regression</t>
        </is>
      </c>
      <c r="R90" s="13" t="n">
        <v>127</v>
      </c>
      <c r="S90" s="25" t="inlineStr">
        <is>
          <t>Price-per-environment registry: tests/fixtures/pricing/pricing-products.ts keys pricingIds by E2E_ENVIRONMENT because the table ids differ AND collide across servers (e.g. id 34 is the no-material sticker-sheet table on static-2 but the PVC table on production). csvSources lists the environments a CSV is a valid rate baseline for; elsewhere the cell/interpolation tests skip with the reason, and an environment with no recorded id skips everything as "unmapped". Rounding: line total = round(price_per_mm x area x quantity, normalized_nr) (100 KRW; 10 KRW for sticker-sheet). Fractional per-unit won prices (e.g. "1매당 8.582원") are accepted business behaviour confirmed with Korean staff, NOT a defect -- only line totals are whole multiples of normalized_nr. Pricing API sits behind the WAF: sporadic HTTP 403 / 502-504 are retried by fetchQuotation (2/4/8/15 s ladder) and, if exhausted, are throttling or gateway availability, not a pricing regression. Counts are from `npx playwright test tests/e2e/storefront/pricing --list` with E2E_ENVIRONMENT=production (2,286 tests in 3 files). Lettering/transfer tables are identical on production, development-1 and development-static-2, so all three are csvSources. KNOWN_FALLING_PRICE_INTERVALS (top of price-interpolation.spec.ts): transfer-sticker areas 429025-435600 and vinyl-lettering areas 60025-62500. The API interpolates on the magnitude, not the sign, of the bound price gap, so where the line total falls as area grows it overshoots BOTH bounds (production 2026-08-25: transfer-sticker 432313 mm2 qty 50 quoted 2,087,300 vs correct 2,036,100 = 51,200 KRW overcharge). The reached transfer-sticker interval is marked test.fail(): it passes while the defect is open and turns red once the backend is fixed (then delete the entry). The vinyl-lettering interval is not currently reached by the sampleIndices walk. Tracked bug, not test debt. Production moved this product to table 72 "Transfer Sticker Solid Color - 09/29/2026" (was 11): identical rates on the old rungs 1-300, new rungs 500-5,000, so the CSV was re-exported on 2026-10-14 and is a production-only baseline now (static-2 still serves the older table). Every color_id gets the same table. The new 500 rung is priced higher per mm2 than 300 in every row (MUS-QA-020).</t>
        </is>
      </c>
      <c r="T90" s="14" t="inlineStr">
        <is>
          <t>Not Run</t>
        </is>
      </c>
      <c r="U90" s="15" t="n"/>
      <c r="V90" s="15" t="n"/>
      <c r="W90" s="15" t="n"/>
      <c r="X90" s="15" t="n"/>
      <c r="Y90" s="25"/>
    </row>
    <row r="91" ht="150" customHeight="1">
      <c r="A91" s="12" t="inlineStr">
        <is>
          <t>MS-PRC-TBL-vinyl-lettering</t>
        </is>
      </c>
      <c r="B91" s="25" t="inlineStr">
        <is>
          <t>Storefront</t>
        </is>
      </c>
      <c r="C91" s="25" t="inlineStr">
        <is>
          <t>7. Pricing</t>
        </is>
      </c>
      <c r="D91" s="25" t="inlineStr">
        <is>
          <t>Price table</t>
        </is>
      </c>
      <c r="E91" s="25" t="inlineStr">
        <is>
          <t>Every grid row of the vinyl-lettering price table served by the pricing API matches the committed CSV cell for cell.</t>
        </is>
      </c>
      <c r="F91" s="13" t="inlineStr">
        <is>
          <t>High</t>
        </is>
      </c>
      <c r="G91" s="25" t="inlineStr">
        <is>
          <t>Data</t>
        </is>
      </c>
      <c r="H91" s="25" t="inlineStr">
        <is>
          <t>E2E_ENVIRONMENT is one of the csvSources for this product (production) and a pricing table id is recorded for it in pricing-products.ts (production=69, static-2=8). Pricing quotation API reachable (public, no auth).</t>
        </is>
      </c>
      <c r="I91" s="25" t="inlineStr">
        <is>
          <t>CSV: tests/fixtures/pricing/stickers/vinyl-lettering.csv. Grid rows checked: 127 (areas 900 to 435,600 mm2), one API request per row. Quantities compared per row: all 13 rungs (1, 2, 5, 10, 50, 100, 200, 300, 500, 1,000, 2,000, 3,000, 5,000); request is sent with quantity=1. Expected table: pricing_id 69 on production (production=69, static-2=8), name /^Vinyl Lettering\b/, normalized_nr 100.</t>
        </is>
      </c>
      <c r="J91" s="25" t="inlineStr">
        <is>
          <t xml:space="preserve">1. Select the environment (e.g. E2E_ENVIRONMENT=production) and open the CSV.
2. For each area row, derive the most-square integer width x height whose product is the area (e.g. 625 -&gt; 25x25).
3. GET {api}/sys/kr/pricing/quotation/vinyl-lettering?width=W&amp;height=H&amp;quantity=1&amp;debug=1.
4. Check success=true, meta.pricing_id, meta.pricing name and data.normalized_nr.
5. Check meta.schema.exact_dimension=true and meta.schema.bounds has exactly one entry with base_area = the CSV area.
6. Compare the stored row (bounds[0].quantities: nr -&gt; price_per_mm) with the CSV row, every quantity column.
7. Automated: npx playwright test tests/e2e/storefront/pricing/price-table.spec.ts -g "MS-PRC-vinyl-lettering area".</t>
        </is>
      </c>
      <c r="K91" s="25" t="inlineStr">
        <is>
          <t>For all 127 rows: meta.pricing_id = the id recorded for the environment, meta.pricing matches /^Vinyl Lettering\b/, normalized_nr = 100; the area is an exact stored grid row resolving only to itself; the stored quantity ladder equals the CSV header exactly; every price_per_mm equals the CSV cell (shortest round-trip number comparison, no tolerance). Any mismatching cells are all reported (soft asserts) and attached as price-diff-vinyl-lettering-area-&lt;area&gt;.txt.</t>
        </is>
      </c>
      <c r="L91" s="13" t="inlineStr">
        <is>
          <t>Automated</t>
        </is>
      </c>
      <c r="M91" s="25" t="inlineStr">
        <is>
          <t>Production-safe</t>
        </is>
      </c>
      <c r="N91" s="25" t="inlineStr">
        <is>
          <t>None (public read-only API). Cells compared only when E2E_ENVIRONMENT is in csvSources (production); otherwise one skipped placeholder test.</t>
        </is>
      </c>
      <c r="O91" s="25" t="inlineStr">
        <is>
          <t>tests/e2e/storefront/pricing/price-table.spec.ts</t>
        </is>
      </c>
      <c r="P91" s="25" t="inlineStr">
        <is>
          <t>MS-PRC-vinyl-lettering area &lt;area&gt; (&lt;W&gt;x&lt;H&gt;) matches stickers/vinyl-lettering.csv</t>
        </is>
      </c>
      <c r="Q91" s="25" t="inlineStr">
        <is>
          <t>@api @pricing @regression</t>
        </is>
      </c>
      <c r="R91" s="13" t="n">
        <v>127</v>
      </c>
      <c r="S91" s="25" t="inlineStr">
        <is>
          <t>Price-per-environment registry: tests/fixtures/pricing/pricing-products.ts keys pricingIds by E2E_ENVIRONMENT because the table ids differ AND collide across servers (e.g. id 34 is the no-material sticker-sheet table on static-2 but the PVC table on production). csvSources lists the environments a CSV is a valid rate baseline for; elsewhere the cell/interpolation tests skip with the reason, and an environment with no recorded id skips everything as "unmapped". Rounding: line total = round(price_per_mm x area x quantity, normalized_nr) (100 KRW; 10 KRW for sticker-sheet). Fractional per-unit won prices (e.g. "1매당 8.582원") are accepted business behaviour confirmed with Korean staff, NOT a defect -- only line totals are whole multiples of normalized_nr. Pricing API sits behind the WAF: sporadic HTTP 403 / 502-504 are retried by fetchQuotation (2/4/8/15 s ladder) and, if exhausted, are throttling or gateway availability, not a pricing regression. Counts are from `npx playwright test tests/e2e/storefront/pricing --list` with E2E_ENVIRONMENT=production (2,286 tests in 3 files). Lettering/transfer tables are identical on production, development-1 and development-static-2, so all three are csvSources. KNOWN_FALLING_PRICE_INTERVALS (top of price-interpolation.spec.ts): transfer-sticker areas 429025-435600 and vinyl-lettering areas 60025-62500. The API interpolates on the magnitude, not the sign, of the bound price gap, so where the line total falls as area grows it overshoots BOTH bounds (production 2026-08-25: transfer-sticker 432313 mm2 qty 50 quoted 2,087,300 vs correct 2,036,100 = 51,200 KRW overcharge). The reached transfer-sticker interval is marked test.fail(): it passes while the defect is open and turns red once the backend is fixed (then delete the entry). The vinyl-lettering interval is not currently reached by the sampleIndices walk. Tracked bug, not test debt. Production moved this product to table 69 "Vinyl Lettering Solid Color 2 - 09/29/2026" (was 8): identical rates on the old rungs 1-300, new rungs 500-5,000, so the CSV was re-exported on 2026-10-14 and is a production-only baseline now (static-2 still serves the older table). Every color_id gets the same table. The new 500 rung is priced higher per mm2 than 300 in every row (MUS-QA-020).</t>
        </is>
      </c>
      <c r="T91" s="14" t="inlineStr">
        <is>
          <t>Not Run</t>
        </is>
      </c>
      <c r="U91" s="15" t="n"/>
      <c r="V91" s="15" t="n"/>
      <c r="W91" s="15" t="n"/>
      <c r="X91" s="15" t="n"/>
      <c r="Y91" s="25"/>
    </row>
    <row r="92" ht="150" customHeight="1">
      <c r="A92" s="12" t="inlineStr">
        <is>
          <t>MS-AUTH-001</t>
        </is>
      </c>
      <c r="B92" s="25" t="inlineStr">
        <is>
          <t>Storefront</t>
        </is>
      </c>
      <c r="C92" s="25" t="inlineStr">
        <is>
          <t>8. Sign-in &amp; registration</t>
        </is>
      </c>
      <c r="D92" s="25" t="inlineStr">
        <is>
          <t>Login</t>
        </is>
      </c>
      <c r="E92" s="25" t="inlineStr">
        <is>
          <t>The header account menu leads an anonymous visitor to the login page with all member login controls.</t>
        </is>
      </c>
      <c r="F92" s="13" t="inlineStr">
        <is>
          <t>Critical</t>
        </is>
      </c>
      <c r="G92" s="25" t="inlineStr">
        <is>
          <t>Navigation</t>
        </is>
      </c>
      <c r="H92" s="25" t="inlineStr">
        <is>
          <t>Anonymous session.</t>
        </is>
      </c>
      <c r="I92" s="25" t="inlineStr">
        <is>
          <t>None.</t>
        </is>
      </c>
      <c r="J92" s="25" t="inlineStr">
        <is>
          <t xml:space="preserve">1. Open the storefront home (/kr) and confirm the header shows logo, search, cart and account buttons.
2. Click the header account button to open the account menu.
3. Click the login entry in the menu.
4. Inspect the login page.</t>
        </is>
      </c>
      <c r="K92" s="25" t="inlineStr">
        <is>
          <t>URL becomes /kr/auth/login. Visible: heading 로그인, create-account link, member and non-member mode buttons, email field, password field (type=password), password visibility toggle, keep-signed-in checkbox, forgot-password button, member submit button, and Kakao, Naver and Google social login buttons. Suite guard: no unexpected console errors or HTTP 4xx/5xx (guest /user/me 401 allowed).</t>
        </is>
      </c>
      <c r="L92" s="13" t="inlineStr">
        <is>
          <t>Automated</t>
        </is>
      </c>
      <c r="M92" s="25" t="inlineStr">
        <is>
          <t>Production-safe</t>
        </is>
      </c>
      <c r="N92" s="25" t="inlineStr">
        <is>
          <t>-</t>
        </is>
      </c>
      <c r="O92" s="25" t="inlineStr">
        <is>
          <t>tests/e2e/storefront/auth/login.spec.ts</t>
        </is>
      </c>
      <c r="P92" s="25" t="inlineStr">
        <is>
          <t>MS-AUTH-001 account navigation opens login</t>
        </is>
      </c>
      <c r="Q92" s="25" t="inlineStr">
        <is>
          <t>@auth @production</t>
        </is>
      </c>
      <c r="R92" s="13" t="n">
        <v>1</v>
      </c>
      <c r="S92" s="25" t="inlineStr">
        <is>
          <t>test-case.md lists this as @smoke; the spec does not carry @smoke, so smoke runs skip it. Social buttons are checked for visibility only, never clicked.</t>
        </is>
      </c>
      <c r="T92" s="14" t="inlineStr">
        <is>
          <t>Not Run</t>
        </is>
      </c>
      <c r="U92" s="15" t="n"/>
      <c r="V92" s="15" t="n"/>
      <c r="W92" s="15" t="n"/>
      <c r="X92" s="15" t="n"/>
      <c r="Y92" s="25" t="inlineStr">
        <is>
          <t>MS-V2-026</t>
        </is>
      </c>
    </row>
    <row r="93" ht="150" customHeight="1">
      <c r="A93" s="12" t="inlineStr">
        <is>
          <t>MS-AUTH-002</t>
        </is>
      </c>
      <c r="B93" s="25" t="inlineStr">
        <is>
          <t>Storefront</t>
        </is>
      </c>
      <c r="C93" s="25" t="inlineStr">
        <is>
          <t>8. Sign-in &amp; registration</t>
        </is>
      </c>
      <c r="D93" s="25" t="inlineStr">
        <is>
          <t>Login</t>
        </is>
      </c>
      <c r="E93" s="25" t="inlineStr">
        <is>
          <t>The login page opened directly shows every member login control, with the password field masked.</t>
        </is>
      </c>
      <c r="F93" s="13" t="inlineStr">
        <is>
          <t>Critical</t>
        </is>
      </c>
      <c r="G93" s="25" t="inlineStr">
        <is>
          <t>UI</t>
        </is>
      </c>
      <c r="H93" s="25" t="inlineStr">
        <is>
          <t>Anonymous session.</t>
        </is>
      </c>
      <c r="I93" s="25" t="inlineStr">
        <is>
          <t>None.</t>
        </is>
      </c>
      <c r="J93" s="25" t="inlineStr">
        <is>
          <t xml:space="preserve">1. Open /kr/auth/login directly and wait for the page to become interactive.
2. Inspect the member login form (heading, mode buttons, email, password, toggle, keep-signed-in, forgot-password, submit).
3. Inspect the create-account link and the social login area.</t>
        </is>
      </c>
      <c r="K93" s="25" t="inlineStr">
        <is>
          <t>Visible: heading 로그인, create-account link, member and non-member mode buttons, email field, password field (type=password), visibility toggle, keep-signed-in checkbox, forgot-password button, submit button, Kakao, Naver and Google login buttons. Suite guard: no unexpected console errors or HTTP 4xx/5xx.</t>
        </is>
      </c>
      <c r="L93" s="13" t="inlineStr">
        <is>
          <t>Automated</t>
        </is>
      </c>
      <c r="M93" s="25" t="inlineStr">
        <is>
          <t>Production-safe</t>
        </is>
      </c>
      <c r="N93" s="25" t="inlineStr">
        <is>
          <t>-</t>
        </is>
      </c>
      <c r="O93" s="25" t="inlineStr">
        <is>
          <t>tests/e2e/storefront/auth/login.spec.ts</t>
        </is>
      </c>
      <c r="P93" s="25" t="inlineStr">
        <is>
          <t>MS-AUTH-002 member login form exposes expected controls</t>
        </is>
      </c>
      <c r="Q93" s="25" t="inlineStr">
        <is>
          <t>@auth @production</t>
        </is>
      </c>
      <c r="R93" s="13" t="n">
        <v>1</v>
      </c>
      <c r="S93" s="25" t="inlineStr">
        <is>
          <t>test-case.md lists this as @smoke; the spec does not carry @smoke. Facebook login is located by the page object but not asserted.</t>
        </is>
      </c>
      <c r="T93" s="14" t="inlineStr">
        <is>
          <t>Not Run</t>
        </is>
      </c>
      <c r="U93" s="15" t="n"/>
      <c r="V93" s="15" t="n"/>
      <c r="W93" s="15" t="n"/>
      <c r="X93" s="15" t="n"/>
      <c r="Y93" s="25" t="inlineStr">
        <is>
          <t>MS-V2-027</t>
        </is>
      </c>
    </row>
    <row r="94" ht="150" customHeight="1">
      <c r="A94" s="12" t="inlineStr">
        <is>
          <t>MS-AUTH-003</t>
        </is>
      </c>
      <c r="B94" s="25" t="inlineStr">
        <is>
          <t>Storefront</t>
        </is>
      </c>
      <c r="C94" s="25" t="inlineStr">
        <is>
          <t>8. Sign-in &amp; registration</t>
        </is>
      </c>
      <c r="D94" s="25" t="inlineStr">
        <is>
          <t>Login</t>
        </is>
      </c>
      <c r="E94" s="25" t="inlineStr">
        <is>
          <t>Submitting the login form blank flags both fields as required without calling the login endpoint.</t>
        </is>
      </c>
      <c r="F94" s="13" t="inlineStr">
        <is>
          <t>Critical</t>
        </is>
      </c>
      <c r="G94" s="25" t="inlineStr">
        <is>
          <t>Validation</t>
        </is>
      </c>
      <c r="H94" s="25" t="inlineStr">
        <is>
          <t>Anonymous session.</t>
        </is>
      </c>
      <c r="I94" s="25" t="inlineStr">
        <is>
          <t>Email and password empty.</t>
        </is>
      </c>
      <c r="J94" s="25" t="inlineStr">
        <is>
          <t xml:space="preserve">1. Open /kr/auth/login.
2. Leave email and password empty.
3. Click the login submit button.</t>
        </is>
      </c>
      <c r="K94" s="25" t="inlineStr">
        <is>
          <t>필수 입력 항목입니다. is shown, and exactly 2 field errors (email and password) carry that text. No POST to /sys/kr/auth/login is sent. URL stays /kr/auth/login. Suite guard: no unexpected console errors or HTTP 4xx/5xx.</t>
        </is>
      </c>
      <c r="L94" s="13" t="inlineStr">
        <is>
          <t>Automated</t>
        </is>
      </c>
      <c r="M94" s="25" t="inlineStr">
        <is>
          <t>Production-safe</t>
        </is>
      </c>
      <c r="N94" s="25" t="inlineStr">
        <is>
          <t>-</t>
        </is>
      </c>
      <c r="O94" s="25" t="inlineStr">
        <is>
          <t>tests/e2e/storefront/auth/login.spec.ts</t>
        </is>
      </c>
      <c r="P94" s="25" t="inlineStr">
        <is>
          <t>MS-AUTH-003 blank login is blocked before the auth endpoint is called @validation</t>
        </is>
      </c>
      <c r="Q94" s="25" t="inlineStr">
        <is>
          <t>@auth @production @validation</t>
        </is>
      </c>
      <c r="R94" s="13" t="n">
        <v>1</v>
      </c>
      <c r="S94" s="25" t="inlineStr">
        <is>
          <t>The login form's required text (필수 입력 항목입니다.) differs from the register form's (필수 항목입니다.).</t>
        </is>
      </c>
      <c r="T94" s="14" t="inlineStr">
        <is>
          <t>Not Run</t>
        </is>
      </c>
      <c r="U94" s="15" t="n"/>
      <c r="V94" s="15" t="n"/>
      <c r="W94" s="15" t="n"/>
      <c r="X94" s="15" t="n"/>
      <c r="Y94" s="25" t="inlineStr">
        <is>
          <t>MS-V2-028</t>
        </is>
      </c>
    </row>
    <row r="95" ht="150" customHeight="1">
      <c r="A95" s="12" t="inlineStr">
        <is>
          <t>MS-AUTH-004</t>
        </is>
      </c>
      <c r="B95" s="25" t="inlineStr">
        <is>
          <t>Storefront</t>
        </is>
      </c>
      <c r="C95" s="25" t="inlineStr">
        <is>
          <t>8. Sign-in &amp; registration</t>
        </is>
      </c>
      <c r="D95" s="25" t="inlineStr">
        <is>
          <t>Login</t>
        </is>
      </c>
      <c r="E95" s="25" t="inlineStr">
        <is>
          <t>A malformed email on the login form is rejected client-side and the visitor stays anonymous.</t>
        </is>
      </c>
      <c r="F95" s="13" t="inlineStr">
        <is>
          <t>High</t>
        </is>
      </c>
      <c r="G95" s="25" t="inlineStr">
        <is>
          <t>Validation</t>
        </is>
      </c>
      <c r="H95" s="25" t="inlineStr">
        <is>
          <t>Anonymous session.</t>
        </is>
      </c>
      <c r="I95" s="25" t="inlineStr">
        <is>
          <t>Email: not-an-email. Password: Dummy!2026.</t>
        </is>
      </c>
      <c r="J95" s="25" t="inlineStr">
        <is>
          <t xml:space="preserve">1. Open /kr/auth/login.
2. Enter not-an-email as the email and Dummy!2026 as the password.
3. Click the login submit button.</t>
        </is>
      </c>
      <c r="K95" s="25" t="inlineStr">
        <is>
          <t>A field error reads 이메일 형식이 올바르지 않습니다. No POST to /sys/kr/auth/login is sent. URL stays /kr/auth/login and no member account dropdown exists. Suite guard: no unexpected console errors or HTTP 4xx/5xx.</t>
        </is>
      </c>
      <c r="L95" s="13" t="inlineStr">
        <is>
          <t>Automated</t>
        </is>
      </c>
      <c r="M95" s="25" t="inlineStr">
        <is>
          <t>Production-safe</t>
        </is>
      </c>
      <c r="N95" s="25" t="inlineStr">
        <is>
          <t>-</t>
        </is>
      </c>
      <c r="O95" s="25" t="inlineStr">
        <is>
          <t>tests/e2e/storefront/auth/login.spec.ts</t>
        </is>
      </c>
      <c r="P95" s="25" t="inlineStr">
        <is>
          <t>MS-AUTH-004 malformed email is rejected without starting an auth session @validation</t>
        </is>
      </c>
      <c r="Q95" s="25" t="inlineStr">
        <is>
          <t>@auth @production @validation</t>
        </is>
      </c>
      <c r="R95" s="13" t="n">
        <v>1</v>
      </c>
      <c r="S95" s="25"/>
      <c r="T95" s="14" t="inlineStr">
        <is>
          <t>Not Run</t>
        </is>
      </c>
      <c r="U95" s="15" t="n"/>
      <c r="V95" s="15" t="n"/>
      <c r="W95" s="15" t="n"/>
      <c r="X95" s="15" t="n"/>
      <c r="Y95" s="25" t="inlineStr">
        <is>
          <t>MS-V2-029</t>
        </is>
      </c>
    </row>
    <row r="96" ht="150" customHeight="1">
      <c r="A96" s="12" t="inlineStr">
        <is>
          <t>MS-AUTH-005</t>
        </is>
      </c>
      <c r="B96" s="25" t="inlineStr">
        <is>
          <t>Storefront</t>
        </is>
      </c>
      <c r="C96" s="25" t="inlineStr">
        <is>
          <t>8. Sign-in &amp; registration</t>
        </is>
      </c>
      <c r="D96" s="25" t="inlineStr">
        <is>
          <t>Login</t>
        </is>
      </c>
      <c r="E96" s="25" t="inlineStr">
        <is>
          <t>Wrong credentials show a generic failure message, identical for unregistered and registered emails, and keep the visitor anonymous.</t>
        </is>
      </c>
      <c r="F96" s="13" t="inlineStr">
        <is>
          <t>Critical</t>
        </is>
      </c>
      <c r="G96" s="25" t="inlineStr">
        <is>
          <t>Security</t>
        </is>
      </c>
      <c r="H96" s="25" t="inlineStr">
        <is>
          <t>Anonymous session. The second half runs only when AUTH_TEST_EMAIL is set.</t>
        </is>
      </c>
      <c r="I96" s="25" t="inlineStr">
        <is>
          <t>Unregistered: invalid-login-e2e@example.com / WrongPass!2026. Registered (optional): AUTH_TEST_EMAIL / DefinitelyNotTheSeededPassword!9.</t>
        </is>
      </c>
      <c r="J96" s="25" t="inlineStr">
        <is>
          <t xml:space="preserve">1. Open /kr/auth/login.
2. Enter invalid-login-e2e@example.com and WrongPass!2026 and click submit; wait for the POST /sys/kr/auth/login response.
3. Check the error and account state.
4. If AUTH_TEST_EMAIL is configured: reopen /kr/auth/login, enter AUTH_TEST_EMAIL with DefinitelyNotTheSeededPassword!9, submit and wait for the response.
5. Check the error and account state again.</t>
        </is>
      </c>
      <c r="K96" s="25" t="inlineStr">
        <is>
          <t>Each attempt shows a field error 이메일 주소 &amp; 비밀번호가 일치하지 않습니다. After each attempt no member account dropdown exists and the URL stays /kr/auth/login. Suite guard: no unexpected console errors or HTTP 4xx/5xx (expected auth failures allowed).</t>
        </is>
      </c>
      <c r="L96" s="13" t="inlineStr">
        <is>
          <t>Automated</t>
        </is>
      </c>
      <c r="M96" s="25" t="inlineStr">
        <is>
          <t>Production-safe</t>
        </is>
      </c>
      <c r="N96" s="25" t="inlineStr">
        <is>
          <t>- (optional AUTH_TEST_EMAIL enables the registered-email half)</t>
        </is>
      </c>
      <c r="O96" s="25" t="inlineStr">
        <is>
          <t>tests/e2e/storefront/auth/login.spec.ts</t>
        </is>
      </c>
      <c r="P96" s="25" t="inlineStr">
        <is>
          <t>MS-AUTH-005 invalid credentials fail safely and keep the user anonymous @validation</t>
        </is>
      </c>
      <c r="Q96" s="25" t="inlineStr">
        <is>
          <t>@auth @production @validation</t>
        </is>
      </c>
      <c r="R96" s="13" t="n">
        <v>1</v>
      </c>
      <c r="S96" s="25" t="inlineStr">
        <is>
          <t>The two messages are not compared directly; each is checked against the same fixed text, which gives the same no-enumeration guarantee. The endpoint answers HTTP 200 with success: false, so the result is read from the rendered error. With AUTH_TEST_EMAIL set, every run sends a wrong-password login for the real seeded account (possible lockout risk on production). test-case.md also mentions checking cookies and local storage; the code checks only the header and URL.</t>
        </is>
      </c>
      <c r="T96" s="14" t="inlineStr">
        <is>
          <t>Not Run</t>
        </is>
      </c>
      <c r="U96" s="15" t="n"/>
      <c r="V96" s="15" t="n"/>
      <c r="W96" s="15" t="n"/>
      <c r="X96" s="15" t="n"/>
      <c r="Y96" s="25" t="inlineStr">
        <is>
          <t>MS-V2-030</t>
        </is>
      </c>
    </row>
    <row r="97" ht="150" customHeight="1">
      <c r="A97" s="12" t="inlineStr">
        <is>
          <t>MS-AUTH-006</t>
        </is>
      </c>
      <c r="B97" s="25" t="inlineStr">
        <is>
          <t>Storefront</t>
        </is>
      </c>
      <c r="C97" s="25" t="inlineStr">
        <is>
          <t>8. Sign-in &amp; registration</t>
        </is>
      </c>
      <c r="D97" s="25" t="inlineStr">
        <is>
          <t>Login</t>
        </is>
      </c>
      <c r="E97" s="25" t="inlineStr">
        <is>
          <t>The login password field is masked by default, the visibility toggle unmasks and re-masks it, and the value never reaches the URL.</t>
        </is>
      </c>
      <c r="F97" s="13" t="inlineStr">
        <is>
          <t>High</t>
        </is>
      </c>
      <c r="G97" s="25" t="inlineStr">
        <is>
          <t>Security</t>
        </is>
      </c>
      <c r="H97" s="25" t="inlineStr">
        <is>
          <t>Anonymous session.</t>
        </is>
      </c>
      <c r="I97" s="25" t="inlineStr">
        <is>
          <t>Password: temporary-secret.</t>
        </is>
      </c>
      <c r="J97" s="25" t="inlineStr">
        <is>
          <t xml:space="preserve">1. Open /kr/auth/login.
2. Type temporary-secret in the password field.
3. Confirm the field is masked.
4. Click the visibility toggle.
5. Click the visibility toggle again.
6. Check the URL.</t>
        </is>
      </c>
      <c r="K97" s="25" t="inlineStr">
        <is>
          <t>Input type is password after step 3, text after step 4, password again after step 5. The URL is still exactly /kr/auth/login with no query string. Suite guard: no unexpected console errors or HTTP 4xx/5xx.</t>
        </is>
      </c>
      <c r="L97" s="13" t="inlineStr">
        <is>
          <t>Automated</t>
        </is>
      </c>
      <c r="M97" s="25" t="inlineStr">
        <is>
          <t>Production-safe</t>
        </is>
      </c>
      <c r="N97" s="25" t="inlineStr">
        <is>
          <t>-</t>
        </is>
      </c>
      <c r="O97" s="25" t="inlineStr">
        <is>
          <t>tests/e2e/storefront/auth/login.spec.ts</t>
        </is>
      </c>
      <c r="P97" s="25" t="inlineStr">
        <is>
          <t>MS-AUTH-006 password visibility toggle masks and unmasks password</t>
        </is>
      </c>
      <c r="Q97" s="25" t="inlineStr">
        <is>
          <t>@auth @production</t>
        </is>
      </c>
      <c r="R97" s="13" t="n">
        <v>1</v>
      </c>
      <c r="S97" s="25" t="inlineStr">
        <is>
          <t>Also covers MS-AUTH-011 (re-verification against production on 2026-08-11), which has no separate test; the 2026-08-10 toggle bug in test-case.md is no longer reproducible and the test is no longer fixme'd. Page load already round-trips the toggle once to detect hydration. test-case.md lists @regression; the spec does not carry it.</t>
        </is>
      </c>
      <c r="T97" s="14" t="inlineStr">
        <is>
          <t>Not Run</t>
        </is>
      </c>
      <c r="U97" s="15" t="n"/>
      <c r="V97" s="15" t="n"/>
      <c r="W97" s="15" t="n"/>
      <c r="X97" s="15" t="n"/>
      <c r="Y97" s="25" t="inlineStr">
        <is>
          <t>MS-V2-031</t>
        </is>
      </c>
    </row>
    <row r="98" ht="150" customHeight="1">
      <c r="A98" s="12" t="inlineStr">
        <is>
          <t>MS-AUTH-007</t>
        </is>
      </c>
      <c r="B98" s="25" t="inlineStr">
        <is>
          <t>Storefront</t>
        </is>
      </c>
      <c r="C98" s="25" t="inlineStr">
        <is>
          <t>8. Sign-in &amp; registration</t>
        </is>
      </c>
      <c r="D98" s="25" t="inlineStr">
        <is>
          <t>Login</t>
        </is>
      </c>
      <c r="E98" s="25" t="inlineStr">
        <is>
          <t>The forgot-password dialog opens from login and rejects blank and malformed emails before sending anything.</t>
        </is>
      </c>
      <c r="F98" s="13" t="inlineStr">
        <is>
          <t>High</t>
        </is>
      </c>
      <c r="G98" s="25" t="inlineStr">
        <is>
          <t>Validation</t>
        </is>
      </c>
      <c r="H98" s="25" t="inlineStr">
        <is>
          <t>Anonymous session.</t>
        </is>
      </c>
      <c r="I98" s="25" t="inlineStr">
        <is>
          <t>Email attempts: empty, then not-an-email.</t>
        </is>
      </c>
      <c r="J98" s="25" t="inlineStr">
        <is>
          <t xml:space="preserve">1. Open /kr/auth/login.
2. Click the forgot-password button.
3. Leave the recovery email empty and click submit.
4. Enter not-an-email and click submit.
5. Click the return button to go back to the login form.</t>
        </is>
      </c>
      <c r="K98" s="25" t="inlineStr">
        <is>
          <t>The dialog shows heading 비밀번호를 잊으셨나요?, an email field and a submit button. Blank submit shows 필수 입력 항목입니다.; malformed submit shows 이메일 형식이 올바르지 않습니다. After returning, the recovery submit button is gone and the member login form is visible again. Suite guard: no unexpected console errors or HTTP 4xx/5xx.</t>
        </is>
      </c>
      <c r="L98" s="13" t="inlineStr">
        <is>
          <t>Automated</t>
        </is>
      </c>
      <c r="M98" s="25" t="inlineStr">
        <is>
          <t>Production-safe</t>
        </is>
      </c>
      <c r="N98" s="25" t="inlineStr">
        <is>
          <t>-</t>
        </is>
      </c>
      <c r="O98" s="25" t="inlineStr">
        <is>
          <t>tests/e2e/storefront/auth/login.spec.ts</t>
        </is>
      </c>
      <c r="P98" s="25" t="inlineStr">
        <is>
          <t>MS-AUTH-007 forgot-password recovery opens and validates its email input @validation</t>
        </is>
      </c>
      <c r="Q98" s="25" t="inlineStr">
        <is>
          <t>@auth @production @validation</t>
        </is>
      </c>
      <c r="R98" s="13" t="n">
        <v>1</v>
      </c>
      <c r="S98" s="25" t="inlineStr">
        <is>
          <t>Unlike MS-AUTH-003/MS-AUTH-004, the code does not watch the network, so the claim that no recovery request is sent is not actually verified. Never submit a real address in production.</t>
        </is>
      </c>
      <c r="T98" s="14" t="inlineStr">
        <is>
          <t>Not Run</t>
        </is>
      </c>
      <c r="U98" s="15" t="n"/>
      <c r="V98" s="15" t="n"/>
      <c r="W98" s="15" t="n"/>
      <c r="X98" s="15" t="n"/>
      <c r="Y98" s="25" t="inlineStr">
        <is>
          <t>MS-V2-032</t>
        </is>
      </c>
    </row>
    <row r="99" ht="150" customHeight="1">
      <c r="A99" s="12" t="inlineStr">
        <is>
          <t>MS-AUTH-008</t>
        </is>
      </c>
      <c r="B99" s="25" t="inlineStr">
        <is>
          <t>Storefront</t>
        </is>
      </c>
      <c r="C99" s="25" t="inlineStr">
        <is>
          <t>8. Sign-in &amp; registration</t>
        </is>
      </c>
      <c r="D99" s="25" t="inlineStr">
        <is>
          <t>Login</t>
        </is>
      </c>
      <c r="E99" s="25" t="inlineStr">
        <is>
          <t>The create-account link on the login page opens the registration page.</t>
        </is>
      </c>
      <c r="F99" s="13" t="inlineStr">
        <is>
          <t>High</t>
        </is>
      </c>
      <c r="G99" s="25" t="inlineStr">
        <is>
          <t>Navigation</t>
        </is>
      </c>
      <c r="H99" s="25" t="inlineStr">
        <is>
          <t>Anonymous session.</t>
        </is>
      </c>
      <c r="I99" s="25" t="inlineStr">
        <is>
          <t>None.</t>
        </is>
      </c>
      <c r="J99" s="25" t="inlineStr">
        <is>
          <t xml:space="preserve">1. Open /kr/auth/login and wait for the page to become interactive.
2. Click the create-account link.
3. Check the URL and the page shown.</t>
        </is>
      </c>
      <c r="K99" s="25" t="inlineStr">
        <is>
          <t>URL becomes /kr/auth/register and the register page container (auth-register-page) is visible. Suite guard: no unexpected console errors or HTTP 4xx/5xx.</t>
        </is>
      </c>
      <c r="L99" s="13" t="inlineStr">
        <is>
          <t>Automated</t>
        </is>
      </c>
      <c r="M99" s="25" t="inlineStr">
        <is>
          <t>Production-safe</t>
        </is>
      </c>
      <c r="N99" s="25" t="inlineStr">
        <is>
          <t>-</t>
        </is>
      </c>
      <c r="O99" s="25" t="inlineStr">
        <is>
          <t>tests/e2e/storefront/auth/login.spec.ts</t>
        </is>
      </c>
      <c r="P99" s="25" t="inlineStr">
        <is>
          <t>MS-AUTH-008 register entry is reachable from login</t>
        </is>
      </c>
      <c r="Q99" s="25" t="inlineStr">
        <is>
          <t>@auth @production</t>
        </is>
      </c>
      <c r="R99" s="13" t="n">
        <v>1</v>
      </c>
      <c r="S99" s="25" t="inlineStr">
        <is>
          <t>test-case.md steps 4-6 (check registration fields, go back, login form restored) are not in this test; register controls are MS-AUTH-012 and the return trip is MS-AUTH-018. Nothing is submitted.</t>
        </is>
      </c>
      <c r="T99" s="14" t="inlineStr">
        <is>
          <t>Not Run</t>
        </is>
      </c>
      <c r="U99" s="15" t="n"/>
      <c r="V99" s="15" t="n"/>
      <c r="W99" s="15" t="n"/>
      <c r="X99" s="15" t="n"/>
      <c r="Y99" s="25" t="inlineStr">
        <is>
          <t>MS-V2-033</t>
        </is>
      </c>
    </row>
    <row r="100" ht="150" customHeight="1">
      <c r="A100" s="12" t="inlineStr">
        <is>
          <t>MS-AUTH-009</t>
        </is>
      </c>
      <c r="B100" s="25" t="inlineStr">
        <is>
          <t>Storefront</t>
        </is>
      </c>
      <c r="C100" s="25" t="inlineStr">
        <is>
          <t>8. Sign-in &amp; registration</t>
        </is>
      </c>
      <c r="D100" s="25" t="inlineStr">
        <is>
          <t>Login</t>
        </is>
      </c>
      <c r="E100" s="25" t="inlineStr">
        <is>
          <t>The seeded member can log in through the login form and sees the member account menu.</t>
        </is>
      </c>
      <c r="F100" s="13" t="inlineStr">
        <is>
          <t>Critical</t>
        </is>
      </c>
      <c r="G100" s="25" t="inlineStr">
        <is>
          <t>Positive</t>
        </is>
      </c>
      <c r="H100" s="25" t="inlineStr">
        <is>
          <t>Anonymous session. Seeded member exists on the environment under test.</t>
        </is>
      </c>
      <c r="I100" s="25" t="inlineStr">
        <is>
          <t>AUTH_TEST_EMAIL / AUTH_TEST_PASSWORD.</t>
        </is>
      </c>
      <c r="J100" s="25" t="inlineStr">
        <is>
          <t xml:space="preserve">1. Open /kr/auth/login.
2. Enter the seeded email and password.
3. Press Enter (the test clicks the submit button if Enter does not produce a successful login response).
4. Open the header account menu.</t>
        </is>
      </c>
      <c r="K100" s="25" t="inlineStr">
        <is>
          <t>POST /sys/kr/auth/login answers 200 and a toast reads 로그인에 성공했습니다. The account menu shows the member dropdown and a logout button. Suite guard: no unexpected console errors or HTTP 4xx/5xx.</t>
        </is>
      </c>
      <c r="L100" s="13" t="inlineStr">
        <is>
          <t>Automated</t>
        </is>
      </c>
      <c r="M100" s="25" t="inlineStr">
        <is>
          <t>Production-safe</t>
        </is>
      </c>
      <c r="N100" s="25" t="inlineStr">
        <is>
          <t>AUTH_TEST_EMAIL/AUTH_TEST_PASSWORD</t>
        </is>
      </c>
      <c r="O100" s="25" t="inlineStr">
        <is>
          <t>tests/e2e/storefront/auth/login.spec.ts</t>
        </is>
      </c>
      <c r="P100" s="25" t="inlineStr">
        <is>
          <t>MS-AUTH-009 seeded member can log in @credentialed</t>
        </is>
      </c>
      <c r="Q100" s="25" t="inlineStr">
        <is>
          <t>@auth @production @credentialed</t>
        </is>
      </c>
      <c r="R100" s="13" t="n">
        <v>1</v>
      </c>
      <c r="S100" s="25" t="inlineStr">
        <is>
          <t>test-case.md lists @smoke; the spec does not carry it. test-case.md step 6 (save storage state for later tests) is not done; other credentialed tests get their session from the API instead. Each environment has its own user database, so production credentials do not work on dev hosts.</t>
        </is>
      </c>
      <c r="T100" s="14" t="inlineStr">
        <is>
          <t>Not Run</t>
        </is>
      </c>
      <c r="U100" s="15" t="n"/>
      <c r="V100" s="15" t="n"/>
      <c r="W100" s="15" t="n"/>
      <c r="X100" s="15" t="n"/>
      <c r="Y100" s="25" t="inlineStr">
        <is>
          <t>MS-V2-034</t>
        </is>
      </c>
    </row>
    <row r="101" ht="150" customHeight="1">
      <c r="A101" s="12" t="inlineStr">
        <is>
          <t>MS-AUTH-010</t>
        </is>
      </c>
      <c r="B101" s="25" t="inlineStr">
        <is>
          <t>Storefront</t>
        </is>
      </c>
      <c r="C101" s="25" t="inlineStr">
        <is>
          <t>8. Sign-in &amp; registration</t>
        </is>
      </c>
      <c r="D101" s="25" t="inlineStr">
        <is>
          <t>Login</t>
        </is>
      </c>
      <c r="E101" s="25" t="inlineStr">
        <is>
          <t>A logged-in session survives reload and navigation, reaches a member-only page, and logout returns the header to its guest state.</t>
        </is>
      </c>
      <c r="F101" s="13" t="inlineStr">
        <is>
          <t>Critical</t>
        </is>
      </c>
      <c r="G101" s="25" t="inlineStr">
        <is>
          <t>Functional</t>
        </is>
      </c>
      <c r="H101" s="25" t="inlineStr">
        <is>
          <t>Anonymous session. Seeded member exists on the environment under test.</t>
        </is>
      </c>
      <c r="I101" s="25" t="inlineStr">
        <is>
          <t>AUTH_TEST_EMAIL / AUTH_TEST_PASSWORD.</t>
        </is>
      </c>
      <c r="J101" s="25" t="inlineStr">
        <is>
          <t xml:space="preserve">1. Open /kr/auth/login and log in with the seeded credentials; open the account menu.
2. Reload the page and open the account menu.
3. Click 스티커 in the header navigation, choose 자유형 스티커 in its menu, wait for the product price, and open the account menu.
4. Open /kr/account/profile.
5. Log out from the account menu.
6. Open the account menu again.</t>
        </is>
      </c>
      <c r="K101" s="25" t="inlineStr">
        <is>
          <t>Login toast 로그인에 성공했습니다. The member dropdown and logout button are visible after login, after reload and on /kr/stickers. /kr/account/profile renders the account profile page. After logout the member dropdown is hidden and the guest dropdown is visible. Suite guard: no unexpected console errors or HTTP 4xx/5xx (post-logout 401s allowed).</t>
        </is>
      </c>
      <c r="L101" s="13" t="inlineStr">
        <is>
          <t>Automated</t>
        </is>
      </c>
      <c r="M101" s="25" t="inlineStr">
        <is>
          <t>Production-safe</t>
        </is>
      </c>
      <c r="N101" s="25" t="inlineStr">
        <is>
          <t>AUTH_TEST_EMAIL/AUTH_TEST_PASSWORD</t>
        </is>
      </c>
      <c r="O101" s="25" t="inlineStr">
        <is>
          <t>tests/e2e/storefront/auth/login.spec.ts</t>
        </is>
      </c>
      <c r="P101" s="25" t="inlineStr">
        <is>
          <t>MS-AUTH-010 session persists across reload and navigation, and logout clears it @credentialed</t>
        </is>
      </c>
      <c r="Q101" s="25" t="inlineStr">
        <is>
          <t>@auth @production @credentialed</t>
        </is>
      </c>
      <c r="R101" s="13" t="n">
        <v>1</v>
      </c>
      <c r="S101" s="25" t="inlineStr">
        <is>
          <t>401s from member-scoped requests that land after logout are tolerated by design. test-case.md lists @regression; the spec does not carry it.</t>
        </is>
      </c>
      <c r="T101" s="14" t="inlineStr">
        <is>
          <t>Not Run</t>
        </is>
      </c>
      <c r="U101" s="15" t="n"/>
      <c r="V101" s="15" t="n"/>
      <c r="W101" s="15" t="n"/>
      <c r="X101" s="15" t="n"/>
      <c r="Y101" s="25" t="inlineStr">
        <is>
          <t>MS-V2-035</t>
        </is>
      </c>
    </row>
    <row r="102" ht="150" customHeight="1">
      <c r="A102" s="16" t="inlineStr">
        <is>
          <t>MS-AUTH-011</t>
        </is>
      </c>
      <c r="B102" s="25" t="inlineStr">
        <is>
          <t>Storefront</t>
        </is>
      </c>
      <c r="C102" s="25" t="inlineStr">
        <is>
          <t>8. Sign-in &amp; registration</t>
        </is>
      </c>
      <c r="D102" s="25" t="inlineStr">
        <is>
          <t>Login</t>
        </is>
      </c>
      <c r="E102" s="17" t="inlineStr">
        <is>
          <t>Withdrawn: re-verification of the MS-AUTH-006 password visibility toggle. Merged into MS-AUTH-006.</t>
        </is>
      </c>
      <c r="F102" s="13" t="inlineStr">
        <is>
          <t>High</t>
        </is>
      </c>
      <c r="G102" s="25" t="inlineStr">
        <is>
          <t>Regression</t>
        </is>
      </c>
      <c r="H102" s="25" t="inlineStr">
        <is>
          <t>-</t>
        </is>
      </c>
      <c r="I102" s="25" t="inlineStr">
        <is>
          <t>-</t>
        </is>
      </c>
      <c r="J102" s="25" t="inlineStr">
        <is>
          <t>-</t>
        </is>
      </c>
      <c r="K102" s="25" t="inlineStr">
        <is>
          <t>-</t>
        </is>
      </c>
      <c r="L102" s="13" t="inlineStr">
        <is>
          <t>Withdrawn</t>
        </is>
      </c>
      <c r="M102" s="25" t="inlineStr">
        <is>
          <t>Production-safe</t>
        </is>
      </c>
      <c r="N102" s="25" t="inlineStr">
        <is>
          <t>-</t>
        </is>
      </c>
      <c r="O102" s="25" t="inlineStr">
        <is>
          <t>-</t>
        </is>
      </c>
      <c r="P102" s="25" t="inlineStr">
        <is>
          <t>-</t>
        </is>
      </c>
      <c r="Q102" s="25" t="inlineStr">
        <is>
          <t>-</t>
        </is>
      </c>
      <c r="R102" s="13" t="n">
        <v>0</v>
      </c>
      <c r="S102" s="25" t="inlineStr">
        <is>
          <t>withdrawn 2026-08-11: the production toggle bug (rendered but did not unmask) no longer reproduced, so the re-verification was folded into MS-AUTH-006 (see the comment in tests/e2e/storefront/auth/login.spec.ts). Keep the ID; do not reuse it.</t>
        </is>
      </c>
      <c r="T102" s="14" t="inlineStr">
        <is>
          <t>N/A</t>
        </is>
      </c>
      <c r="U102" s="15" t="n"/>
      <c r="V102" s="15" t="n"/>
      <c r="W102" s="15" t="n"/>
      <c r="X102" s="15" t="n"/>
      <c r="Y102" s="25" t="inlineStr">
        <is>
          <t>MS-V2-044</t>
        </is>
      </c>
    </row>
    <row r="103" ht="150" customHeight="1">
      <c r="A103" s="12" t="inlineStr">
        <is>
          <t>MS-AUTH-012</t>
        </is>
      </c>
      <c r="B103" s="25" t="inlineStr">
        <is>
          <t>Storefront</t>
        </is>
      </c>
      <c r="C103" s="25" t="inlineStr">
        <is>
          <t>8. Sign-in &amp; registration</t>
        </is>
      </c>
      <c r="D103" s="25" t="inlineStr">
        <is>
          <t>Registration</t>
        </is>
      </c>
      <c r="E103" s="25" t="inlineStr">
        <is>
          <t>The registration page shows every control needed to sign up, with the password masked and the password policy stated.</t>
        </is>
      </c>
      <c r="F103" s="13" t="inlineStr">
        <is>
          <t>Critical</t>
        </is>
      </c>
      <c r="G103" s="25" t="inlineStr">
        <is>
          <t>Smoke</t>
        </is>
      </c>
      <c r="H103" s="25" t="inlineStr">
        <is>
          <t>Anonymous session.</t>
        </is>
      </c>
      <c r="I103" s="25" t="inlineStr">
        <is>
          <t>None.</t>
        </is>
      </c>
      <c r="J103" s="25" t="inlineStr">
        <is>
          <t xml:space="preserve">1. Open /kr/auth/register and wait for the page to become interactive.
2. Inspect the heading and the name, email and password fields (including the visibility toggle).
3. Inspect the terms row, the terms and privacy links, and the marketing opt-in checkbox.
4. Inspect the submit button, the login link and the password policy text.</t>
        </is>
      </c>
      <c r="K103" s="25" t="inlineStr">
        <is>
          <t>Visible: heading 회원가입, name, email and password fields (password type=password), password visibility toggle, terms agreement row, submit button (계정 만들기) and the login link. Terms link points to /kr/terms-of-use and privacy link to /kr/privacy-policy. The marketing opt-in checkbox is present in the page. The page contains the policy text 비밀번호는 최소 6자 이상 ... 대문자, 숫자. Suite guard: no unexpected console errors or HTTP 4xx/5xx.</t>
        </is>
      </c>
      <c r="L103" s="13" t="inlineStr">
        <is>
          <t>Automated</t>
        </is>
      </c>
      <c r="M103" s="25" t="inlineStr">
        <is>
          <t>Production-safe</t>
        </is>
      </c>
      <c r="N103" s="25" t="inlineStr">
        <is>
          <t>-</t>
        </is>
      </c>
      <c r="O103" s="25" t="inlineStr">
        <is>
          <t>tests/e2e/storefront/auth/registration.spec.ts</t>
        </is>
      </c>
      <c r="P103" s="25" t="inlineStr">
        <is>
          <t>MS-AUTH-012 register form exposes expected controls @smoke</t>
        </is>
      </c>
      <c r="Q103" s="25" t="inlineStr">
        <is>
          <t>@auth @production @smoke</t>
        </is>
      </c>
      <c r="R103" s="13" t="n">
        <v>1</v>
      </c>
      <c r="S103" s="25" t="inlineStr">
        <is>
          <t>Read-only; nothing is submitted. The opt-in checkbox is only checked for presence, not visibility (it is visually replaced by a styled box).</t>
        </is>
      </c>
      <c r="T103" s="14" t="inlineStr">
        <is>
          <t>Not Run</t>
        </is>
      </c>
      <c r="U103" s="15" t="n"/>
      <c r="V103" s="15" t="n"/>
      <c r="W103" s="15" t="n"/>
      <c r="X103" s="15" t="n"/>
      <c r="Y103" s="25" t="inlineStr">
        <is>
          <t>MS-V2-079</t>
        </is>
      </c>
    </row>
    <row r="104" ht="150" customHeight="1">
      <c r="A104" s="12" t="inlineStr">
        <is>
          <t>MS-AUTH-013</t>
        </is>
      </c>
      <c r="B104" s="25" t="inlineStr">
        <is>
          <t>Storefront</t>
        </is>
      </c>
      <c r="C104" s="25" t="inlineStr">
        <is>
          <t>8. Sign-in &amp; registration</t>
        </is>
      </c>
      <c r="D104" s="25" t="inlineStr">
        <is>
          <t>Registration</t>
        </is>
      </c>
      <c r="E104" s="25" t="inlineStr">
        <is>
          <t>Submitting the registration form blank shows required-field errors and requests no verification code.</t>
        </is>
      </c>
      <c r="F104" s="13" t="inlineStr">
        <is>
          <t>Critical</t>
        </is>
      </c>
      <c r="G104" s="25" t="inlineStr">
        <is>
          <t>Validation</t>
        </is>
      </c>
      <c r="H104" s="25" t="inlineStr">
        <is>
          <t>Anonymous session.</t>
        </is>
      </c>
      <c r="I104" s="25" t="inlineStr">
        <is>
          <t>All fields empty, terms unchecked.</t>
        </is>
      </c>
      <c r="J104" s="25" t="inlineStr">
        <is>
          <t xml:space="preserve">1. Open /kr/auth/register.
2. Leave name, email and password empty and the terms box unticked.
3. Click the submit button (계정 만들기).</t>
        </is>
      </c>
      <c r="K104" s="25" t="inlineStr">
        <is>
          <t>At least one field error reads 필수 항목입니다. URL stays /kr/auth/register. The verification code modal does not open (no first code input). Suite guard: no unexpected console errors or HTTP 4xx/5xx.</t>
        </is>
      </c>
      <c r="L104" s="13" t="inlineStr">
        <is>
          <t>Automated</t>
        </is>
      </c>
      <c r="M104" s="25" t="inlineStr">
        <is>
          <t>Production-safe</t>
        </is>
      </c>
      <c r="N104" s="25" t="inlineStr">
        <is>
          <t>-</t>
        </is>
      </c>
      <c r="O104" s="25" t="inlineStr">
        <is>
          <t>tests/e2e/storefront/auth/registration.spec.ts</t>
        </is>
      </c>
      <c r="P104" s="25" t="inlineStr">
        <is>
          <t>MS-AUTH-013 blank register submit is blocked with required-field validation @validation</t>
        </is>
      </c>
      <c r="Q104" s="25" t="inlineStr">
        <is>
          <t>@auth @production @validation</t>
        </is>
      </c>
      <c r="R104" s="13" t="n">
        <v>1</v>
      </c>
      <c r="S104" s="25" t="inlineStr">
        <is>
          <t>The absence of a request is inferred from the missing code modal; the network is not watched. The register text (필수 항목입니다.) differs from login's (필수 입력 항목입니다.).</t>
        </is>
      </c>
      <c r="T104" s="14" t="inlineStr">
        <is>
          <t>Not Run</t>
        </is>
      </c>
      <c r="U104" s="15" t="n"/>
      <c r="V104" s="15" t="n"/>
      <c r="W104" s="15" t="n"/>
      <c r="X104" s="15" t="n"/>
      <c r="Y104" s="25" t="inlineStr">
        <is>
          <t>MS-V2-080</t>
        </is>
      </c>
    </row>
    <row r="105" ht="150" customHeight="1">
      <c r="A105" s="12" t="inlineStr">
        <is>
          <t>MS-AUTH-014</t>
        </is>
      </c>
      <c r="B105" s="25" t="inlineStr">
        <is>
          <t>Storefront</t>
        </is>
      </c>
      <c r="C105" s="25" t="inlineStr">
        <is>
          <t>8. Sign-in &amp; registration</t>
        </is>
      </c>
      <c r="D105" s="25" t="inlineStr">
        <is>
          <t>Registration</t>
        </is>
      </c>
      <c r="E105" s="25" t="inlineStr">
        <is>
          <t>A malformed email on the registration form is rejected before any verification code is requested.</t>
        </is>
      </c>
      <c r="F105" s="13" t="inlineStr">
        <is>
          <t>High</t>
        </is>
      </c>
      <c r="G105" s="25" t="inlineStr">
        <is>
          <t>Validation</t>
        </is>
      </c>
      <c r="H105" s="25" t="inlineStr">
        <is>
          <t>Anonymous session.</t>
        </is>
      </c>
      <c r="I105" s="25" t="inlineStr">
        <is>
          <t>Name: E2E Test User. Email: not-an-email. Password: E2eSuite!2026. Terms agreed.</t>
        </is>
      </c>
      <c r="J105" s="25" t="inlineStr">
        <is>
          <t xml:space="preserve">1. Open /kr/auth/register.
2. Enter E2E Test User, not-an-email and E2eSuite!2026, and tick the terms box.
3. Click the submit button.</t>
        </is>
      </c>
      <c r="K105" s="25" t="inlineStr">
        <is>
          <t>A field error reads 이메일 형식이 올바르지 않습니다. The verification code modal does not open. Suite guard: no unexpected console errors or HTTP 4xx/5xx.</t>
        </is>
      </c>
      <c r="L105" s="13" t="inlineStr">
        <is>
          <t>Automated</t>
        </is>
      </c>
      <c r="M105" s="25" t="inlineStr">
        <is>
          <t>Production-safe</t>
        </is>
      </c>
      <c r="N105" s="25" t="inlineStr">
        <is>
          <t>-</t>
        </is>
      </c>
      <c r="O105" s="25" t="inlineStr">
        <is>
          <t>tests/e2e/storefront/auth/registration.spec.ts</t>
        </is>
      </c>
      <c r="P105" s="25" t="inlineStr">
        <is>
          <t>MS-AUTH-014 malformed email is rejected before any account is requested @validation</t>
        </is>
      </c>
      <c r="Q105" s="25" t="inlineStr">
        <is>
          <t>@auth @production @validation</t>
        </is>
      </c>
      <c r="R105" s="13" t="n">
        <v>1</v>
      </c>
      <c r="S105" s="25" t="inlineStr">
        <is>
          <t>URL is not asserted here (unlike MS-AUTH-013).</t>
        </is>
      </c>
      <c r="T105" s="14" t="inlineStr">
        <is>
          <t>Not Run</t>
        </is>
      </c>
      <c r="U105" s="15" t="n"/>
      <c r="V105" s="15" t="n"/>
      <c r="W105" s="15" t="n"/>
      <c r="X105" s="15" t="n"/>
      <c r="Y105" s="25" t="inlineStr">
        <is>
          <t>MS-V2-081</t>
        </is>
      </c>
    </row>
    <row r="106" ht="150" customHeight="1">
      <c r="A106" s="12" t="inlineStr">
        <is>
          <t>MS-AUTH-015</t>
        </is>
      </c>
      <c r="B106" s="25" t="inlineStr">
        <is>
          <t>Storefront</t>
        </is>
      </c>
      <c r="C106" s="25" t="inlineStr">
        <is>
          <t>8. Sign-in &amp; registration</t>
        </is>
      </c>
      <c r="D106" s="25" t="inlineStr">
        <is>
          <t>Registration</t>
        </is>
      </c>
      <c r="E106" s="25" t="inlineStr">
        <is>
          <t>A password that does not meet the stated policy is rejected on registration.</t>
        </is>
      </c>
      <c r="F106" s="13" t="inlineStr">
        <is>
          <t>High</t>
        </is>
      </c>
      <c r="G106" s="25" t="inlineStr">
        <is>
          <t>Validation</t>
        </is>
      </c>
      <c r="H106" s="25" t="inlineStr">
        <is>
          <t>Anonymous session.</t>
        </is>
      </c>
      <c r="I106" s="25" t="inlineStr">
        <is>
          <t>Name: E2E Test User. Email: e2e-policy-&lt;timestamp&gt;@example.com (unique per run). Password: abc. Terms agreed.</t>
        </is>
      </c>
      <c r="J106" s="25" t="inlineStr">
        <is>
          <t xml:space="preserve">1. Open /kr/auth/register.
2. Enter E2E Test User, a unique e2e-policy-&lt;timestamp&gt;@example.com address and the password abc; tick the terms box.
3. Click the submit button.</t>
        </is>
      </c>
      <c r="K106" s="25" t="inlineStr">
        <is>
          <t>A field error reads 비밀번호가 요구 사항을 충족하지 않습니다. The verification code modal does not open. Suite guard: no unexpected console errors or HTTP 4xx/5xx.</t>
        </is>
      </c>
      <c r="L106" s="13" t="inlineStr">
        <is>
          <t>Automated</t>
        </is>
      </c>
      <c r="M106" s="25" t="inlineStr">
        <is>
          <t>Production-safe</t>
        </is>
      </c>
      <c r="N106" s="25" t="inlineStr">
        <is>
          <t>-</t>
        </is>
      </c>
      <c r="O106" s="25" t="inlineStr">
        <is>
          <t>tests/e2e/storefront/auth/registration.spec.ts</t>
        </is>
      </c>
      <c r="P106" s="25" t="inlineStr">
        <is>
          <t>MS-AUTH-015 password below the stated policy is rejected @validation</t>
        </is>
      </c>
      <c r="Q106" s="25" t="inlineStr">
        <is>
          <t>@auth @production @validation</t>
        </is>
      </c>
      <c r="R106" s="13" t="n">
        <v>1</v>
      </c>
      <c r="S106" s="25" t="inlineStr">
        <is>
          <t>abc fails both the 6-character minimum and the character-class rule.</t>
        </is>
      </c>
      <c r="T106" s="14" t="inlineStr">
        <is>
          <t>Not Run</t>
        </is>
      </c>
      <c r="U106" s="15" t="n"/>
      <c r="V106" s="15" t="n"/>
      <c r="W106" s="15" t="n"/>
      <c r="X106" s="15" t="n"/>
      <c r="Y106" s="25" t="inlineStr">
        <is>
          <t>MS-V2-082</t>
        </is>
      </c>
    </row>
    <row r="107" ht="150" customHeight="1">
      <c r="A107" s="12" t="inlineStr">
        <is>
          <t>MS-AUTH-016</t>
        </is>
      </c>
      <c r="B107" s="25" t="inlineStr">
        <is>
          <t>Storefront</t>
        </is>
      </c>
      <c r="C107" s="25" t="inlineStr">
        <is>
          <t>8. Sign-in &amp; registration</t>
        </is>
      </c>
      <c r="D107" s="25" t="inlineStr">
        <is>
          <t>Registration</t>
        </is>
      </c>
      <c r="E107" s="25" t="inlineStr">
        <is>
          <t>Registration is blocked until the terms checkbox is ticked, and the error clears once it is.</t>
        </is>
      </c>
      <c r="F107" s="13" t="inlineStr">
        <is>
          <t>High</t>
        </is>
      </c>
      <c r="G107" s="25" t="inlineStr">
        <is>
          <t>Validation</t>
        </is>
      </c>
      <c r="H107" s="25" t="inlineStr">
        <is>
          <t>Anonymous session.</t>
        </is>
      </c>
      <c r="I107" s="25" t="inlineStr">
        <is>
          <t>Name: E2E Test User. Email: e2e-terms-&lt;timestamp&gt;@example.com. Password: E2eSuite!2026. Terms NOT agreed.</t>
        </is>
      </c>
      <c r="J107" s="25" t="inlineStr">
        <is>
          <t xml:space="preserve">1. Open /kr/auth/register.
2. Enter E2E Test User, a unique e2e-terms-&lt;timestamp&gt;@example.com address and E2eSuite!2026; leave the terms box unticked.
3. Click the submit button.
4. Tick the terms box.</t>
        </is>
      </c>
      <c r="K107" s="25" t="inlineStr">
        <is>
          <t>After submit the terms error control (auth-register-terms-error) is visible, the terms row has data-state=error, and the verification code modal does not open. After ticking, the terms row no longer has data-state=error. Suite guard: no unexpected console errors or HTTP 4xx/5xx.</t>
        </is>
      </c>
      <c r="L107" s="13" t="inlineStr">
        <is>
          <t>Automated</t>
        </is>
      </c>
      <c r="M107" s="25" t="inlineStr">
        <is>
          <t>Production-safe</t>
        </is>
      </c>
      <c r="N107" s="25" t="inlineStr">
        <is>
          <t>-</t>
        </is>
      </c>
      <c r="O107" s="25" t="inlineStr">
        <is>
          <t>tests/e2e/storefront/auth/registration.spec.ts</t>
        </is>
      </c>
      <c r="P107" s="25" t="inlineStr">
        <is>
          <t>MS-AUTH-016 registration is blocked until the terms checkbox is agreed @validation</t>
        </is>
      </c>
      <c r="Q107" s="25" t="inlineStr">
        <is>
          <t>@auth @production @validation</t>
        </is>
      </c>
      <c r="R107" s="13" t="n">
        <v>1</v>
      </c>
      <c r="S107" s="25" t="inlineStr">
        <is>
          <t>The terms row has no inline error text; the only text on its error control is the screen-reader label 약관 오류 정보, so state is checked rather than visible copy. The form is not resubmitted after ticking.</t>
        </is>
      </c>
      <c r="T107" s="14" t="inlineStr">
        <is>
          <t>Not Run</t>
        </is>
      </c>
      <c r="U107" s="15" t="n"/>
      <c r="V107" s="15" t="n"/>
      <c r="W107" s="15" t="n"/>
      <c r="X107" s="15" t="n"/>
      <c r="Y107" s="25" t="inlineStr">
        <is>
          <t>MS-V2-083</t>
        </is>
      </c>
    </row>
    <row r="108" ht="150" customHeight="1">
      <c r="A108" s="12" t="inlineStr">
        <is>
          <t>MS-AUTH-017</t>
        </is>
      </c>
      <c r="B108" s="25" t="inlineStr">
        <is>
          <t>Storefront</t>
        </is>
      </c>
      <c r="C108" s="25" t="inlineStr">
        <is>
          <t>8. Sign-in &amp; registration</t>
        </is>
      </c>
      <c r="D108" s="25" t="inlineStr">
        <is>
          <t>Registration</t>
        </is>
      </c>
      <c r="E108" s="25" t="inlineStr">
        <is>
          <t>The registration password field is masked, the toggle unmasks and re-masks it, and the value never reaches the URL.</t>
        </is>
      </c>
      <c r="F108" s="13" t="inlineStr">
        <is>
          <t>Medium</t>
        </is>
      </c>
      <c r="G108" s="25" t="inlineStr">
        <is>
          <t>Security</t>
        </is>
      </c>
      <c r="H108" s="25" t="inlineStr">
        <is>
          <t>Anonymous session.</t>
        </is>
      </c>
      <c r="I108" s="25" t="inlineStr">
        <is>
          <t>Password: temporary-secret.</t>
        </is>
      </c>
      <c r="J108" s="25" t="inlineStr">
        <is>
          <t xml:space="preserve">1. Open /kr/auth/register.
2. Type temporary-secret in the password field.
3. Confirm it is masked, click the visibility toggle, then click it again.
4. Check the URL.</t>
        </is>
      </c>
      <c r="K108" s="25" t="inlineStr">
        <is>
          <t>Input type is password, then text after the first toggle, then password after the second. URL is still exactly /kr/auth/register with no query string. Suite guard: no unexpected console errors or HTTP 4xx/5xx.</t>
        </is>
      </c>
      <c r="L108" s="13" t="inlineStr">
        <is>
          <t>Automated</t>
        </is>
      </c>
      <c r="M108" s="25" t="inlineStr">
        <is>
          <t>Production-safe</t>
        </is>
      </c>
      <c r="N108" s="25" t="inlineStr">
        <is>
          <t>-</t>
        </is>
      </c>
      <c r="O108" s="25" t="inlineStr">
        <is>
          <t>tests/e2e/storefront/auth/registration.spec.ts</t>
        </is>
      </c>
      <c r="P108" s="25" t="inlineStr">
        <is>
          <t>MS-AUTH-017 register password visibility toggle masks and unmasks</t>
        </is>
      </c>
      <c r="Q108" s="25" t="inlineStr">
        <is>
          <t>@auth @production</t>
        </is>
      </c>
      <c r="R108" s="13" t="n">
        <v>1</v>
      </c>
      <c r="S108" s="25" t="inlineStr">
        <is>
          <t>The register toggle's test id is auth-register-password-toggle (no -button suffix, unlike login).</t>
        </is>
      </c>
      <c r="T108" s="14" t="inlineStr">
        <is>
          <t>Not Run</t>
        </is>
      </c>
      <c r="U108" s="15" t="n"/>
      <c r="V108" s="15" t="n"/>
      <c r="W108" s="15" t="n"/>
      <c r="X108" s="15" t="n"/>
      <c r="Y108" s="25" t="inlineStr">
        <is>
          <t>MS-V2-084</t>
        </is>
      </c>
    </row>
    <row r="109" ht="150" customHeight="1">
      <c r="A109" s="12" t="inlineStr">
        <is>
          <t>MS-AUTH-018</t>
        </is>
      </c>
      <c r="B109" s="25" t="inlineStr">
        <is>
          <t>Storefront</t>
        </is>
      </c>
      <c r="C109" s="25" t="inlineStr">
        <is>
          <t>8. Sign-in &amp; registration</t>
        </is>
      </c>
      <c r="D109" s="25" t="inlineStr">
        <is>
          <t>Registration</t>
        </is>
      </c>
      <c r="E109" s="25" t="inlineStr">
        <is>
          <t>The login link on the registration page opens the login page with its member controls.</t>
        </is>
      </c>
      <c r="F109" s="13" t="inlineStr">
        <is>
          <t>Medium</t>
        </is>
      </c>
      <c r="G109" s="25" t="inlineStr">
        <is>
          <t>Navigation</t>
        </is>
      </c>
      <c r="H109" s="25" t="inlineStr">
        <is>
          <t>Anonymous session.</t>
        </is>
      </c>
      <c r="I109" s="25" t="inlineStr">
        <is>
          <t>None.</t>
        </is>
      </c>
      <c r="J109" s="25" t="inlineStr">
        <is>
          <t xml:space="preserve">1. Open /kr/auth/register.
2. Click the login link (여기서 로그인하세요).
3. Inspect the login page.</t>
        </is>
      </c>
      <c r="K109" s="25" t="inlineStr">
        <is>
          <t>URL becomes /kr/auth/login. Visible: heading 로그인, create-account link, member and non-member mode buttons, email and masked password fields, toggle, keep-signed-in checkbox, forgot-password, submit, and Kakao, Naver and Google buttons. Suite guard: no unexpected console errors or HTTP 4xx/5xx.</t>
        </is>
      </c>
      <c r="L109" s="13" t="inlineStr">
        <is>
          <t>Automated</t>
        </is>
      </c>
      <c r="M109" s="25" t="inlineStr">
        <is>
          <t>Production-safe</t>
        </is>
      </c>
      <c r="N109" s="25" t="inlineStr">
        <is>
          <t>-</t>
        </is>
      </c>
      <c r="O109" s="25" t="inlineStr">
        <is>
          <t>tests/e2e/storefront/auth/registration.spec.ts</t>
        </is>
      </c>
      <c r="P109" s="25" t="inlineStr">
        <is>
          <t>MS-AUTH-018 login entry is reachable from register</t>
        </is>
      </c>
      <c r="Q109" s="25" t="inlineStr">
        <is>
          <t>@auth @production</t>
        </is>
      </c>
      <c r="R109" s="13" t="n">
        <v>1</v>
      </c>
      <c r="S109" s="25" t="inlineStr">
        <is>
          <t>The link label 여기서 로그인하세요 comes from test-case.md; the code locates it by test id (auth-register-login-link).</t>
        </is>
      </c>
      <c r="T109" s="14" t="inlineStr">
        <is>
          <t>Not Run</t>
        </is>
      </c>
      <c r="U109" s="15" t="n"/>
      <c r="V109" s="15" t="n"/>
      <c r="W109" s="15" t="n"/>
      <c r="X109" s="15" t="n"/>
      <c r="Y109" s="25" t="inlineStr">
        <is>
          <t>MS-V2-085</t>
        </is>
      </c>
    </row>
    <row r="110" ht="150" customHeight="1">
      <c r="A110" s="12" t="inlineStr">
        <is>
          <t>MS-AUTH-019</t>
        </is>
      </c>
      <c r="B110" s="25" t="inlineStr">
        <is>
          <t>Storefront</t>
        </is>
      </c>
      <c r="C110" s="25" t="inlineStr">
        <is>
          <t>8. Sign-in &amp; registration</t>
        </is>
      </c>
      <c r="D110" s="25" t="inlineStr">
        <is>
          <t>Registration</t>
        </is>
      </c>
      <c r="E110" s="25" t="inlineStr">
        <is>
          <t>Registering with an already-registered email opens a sign-in prompt instead of starting a new account.</t>
        </is>
      </c>
      <c r="F110" s="13" t="inlineStr">
        <is>
          <t>High</t>
        </is>
      </c>
      <c r="G110" s="25" t="inlineStr">
        <is>
          <t>Negative</t>
        </is>
      </c>
      <c r="H110" s="25" t="inlineStr">
        <is>
          <t>Anonymous session. AUTH_TEST_EMAIL belongs to an existing member on the environment under test.</t>
        </is>
      </c>
      <c r="I110" s="25" t="inlineStr">
        <is>
          <t>Name: E2E Test User. Email: AUTH_TEST_EMAIL. Password: E2eSuite!2026. Terms agreed.</t>
        </is>
      </c>
      <c r="J110" s="25" t="inlineStr">
        <is>
          <t xml:space="preserve">1. Open /kr/auth/register.
2. Enter E2E Test User, the seeded member's email and E2eSuite!2026; tick the terms box.
3. Click the submit button.
4. Inspect the modal that opens. Do not complete it.</t>
        </is>
      </c>
      <c r="K110" s="25" t="inlineStr">
        <is>
          <t>The already-registered modal (auth-email-registered-modal) opens with heading 이미 등록된 이메일입니다., a visible password field of type=password, a continue button and a forgot-password link. The verification code modal does not open. Suite guard: no unexpected console errors or HTTP 4xx/5xx.</t>
        </is>
      </c>
      <c r="L110" s="13" t="inlineStr">
        <is>
          <t>Automated</t>
        </is>
      </c>
      <c r="M110" s="25" t="inlineStr">
        <is>
          <t>Production-safe</t>
        </is>
      </c>
      <c r="N110" s="25" t="inlineStr">
        <is>
          <t>AUTH_TEST_EMAIL</t>
        </is>
      </c>
      <c r="O110" s="25" t="inlineStr">
        <is>
          <t>tests/e2e/storefront/auth/registration.spec.ts</t>
        </is>
      </c>
      <c r="P110" s="25" t="inlineStr">
        <is>
          <t>MS-AUTH-019 registering an existing email offers sign-in instead of a duplicate account @credentialed</t>
        </is>
      </c>
      <c r="Q110" s="25" t="inlineStr">
        <is>
          <t>@auth @production @credentialed</t>
        </is>
      </c>
      <c r="R110" s="13" t="n">
        <v>1</v>
      </c>
      <c r="S110" s="25" t="inlineStr">
        <is>
          <t>The verification endpoint answers 200 with email_already_taken. The modal is never completed, so no session or account is created. Only AUTH_TEST_EMAIL is needed (no password).</t>
        </is>
      </c>
      <c r="T110" s="14" t="inlineStr">
        <is>
          <t>Not Run</t>
        </is>
      </c>
      <c r="U110" s="15" t="n"/>
      <c r="V110" s="15" t="n"/>
      <c r="W110" s="15" t="n"/>
      <c r="X110" s="15" t="n"/>
      <c r="Y110" s="25" t="inlineStr">
        <is>
          <t>MS-V2-086</t>
        </is>
      </c>
    </row>
    <row r="111" ht="150" customHeight="1">
      <c r="A111" s="12" t="inlineStr">
        <is>
          <t>MS-AUTH-020</t>
        </is>
      </c>
      <c r="B111" s="25" t="inlineStr">
        <is>
          <t>Storefront</t>
        </is>
      </c>
      <c r="C111" s="25" t="inlineStr">
        <is>
          <t>8. Sign-in &amp; registration</t>
        </is>
      </c>
      <c r="D111" s="25" t="inlineStr">
        <is>
          <t>Registration</t>
        </is>
      </c>
      <c r="E111" s="25" t="inlineStr">
        <is>
          <t>Entering a wrong emailed verification code during registration is rejected and creates no account.</t>
        </is>
      </c>
      <c r="F111" s="13" t="inlineStr">
        <is>
          <t>High</t>
        </is>
      </c>
      <c r="G111" s="25" t="inlineStr">
        <is>
          <t>Negative</t>
        </is>
      </c>
      <c r="H111" s="25" t="inlineStr">
        <is>
          <t>Dev environment (not production). Anonymous session. Internet access to api.mail.tm. Test timeout 120 s.</t>
        </is>
      </c>
      <c r="I111" s="25" t="inlineStr">
        <is>
          <t>New mail.tm inbox. Name: E2E Test User. Password: E2eSuite!2026. Wrong code: 1111 (or 2222 if the real code is 1111).</t>
        </is>
      </c>
      <c r="J111" s="25" t="inlineStr">
        <is>
          <t xml:space="preserve">1. Create a disposable mail.tm inbox.
2. Open /kr/auth/register, fill name, the inbox address and password, tick the terms box and click submit.
3. Wait for the 인증 요청 code modal.
4. Read the email whose subject contains 인증 and note the real 4-digit code.
5. Enter a different 4-digit code and confirm.</t>
        </is>
      </c>
      <c r="K111" s="25" t="inlineStr">
        <is>
          <t>The verification request answers 201 and the modal shows heading 인증 요청, the first code input and a resend button. The account-creation response status is not 201. The message 입력하신 인증번호가 일치하지 않습니다. is shown, the code inputs are still visible, and the URL stays /kr/auth/register. Suite guard: no unexpected console errors or HTTP 4xx/5xx.</t>
        </is>
      </c>
      <c r="L111" s="13" t="inlineStr">
        <is>
          <t>Automated</t>
        </is>
      </c>
      <c r="M111" s="25" t="inlineStr">
        <is>
          <t>Dev only</t>
        </is>
      </c>
      <c r="N111" s="25" t="inlineStr">
        <is>
          <t>RUN_AUTH_DESTRUCTIVE_E2E=true; api.mail.tm reachable</t>
        </is>
      </c>
      <c r="O111" s="25" t="inlineStr">
        <is>
          <t>tests/e2e/storefront/auth/registration.spec.ts</t>
        </is>
      </c>
      <c r="P111" s="25" t="inlineStr">
        <is>
          <t>MS-AUTH-020 a wrong verification code is rejected and creates no account</t>
        </is>
      </c>
      <c r="Q111" s="25" t="inlineStr">
        <is>
          <t>@auth @production @destructive @slow</t>
        </is>
      </c>
      <c r="R111" s="13" t="n">
        <v>1</v>
      </c>
      <c r="S111" s="25" t="inlineStr">
        <is>
          <t>A mismatch is HTTP 200 with success: false, never a 4xx. No account is created so nothing is recorded in the cleanup ledger; a real verification email is sent and the mail.tm inbox is abandoned. Carries @production from its describe block but is gated and excluded from prod scripts by @destructive; do not run on production.</t>
        </is>
      </c>
      <c r="T111" s="14" t="inlineStr">
        <is>
          <t>Not Run</t>
        </is>
      </c>
      <c r="U111" s="15" t="n"/>
      <c r="V111" s="15" t="n"/>
      <c r="W111" s="15" t="n"/>
      <c r="X111" s="15" t="n"/>
      <c r="Y111" s="25" t="inlineStr">
        <is>
          <t>MS-V2-087</t>
        </is>
      </c>
    </row>
    <row r="112" ht="150" customHeight="1">
      <c r="A112" s="12" t="inlineStr">
        <is>
          <t>MS-AUTH-021</t>
        </is>
      </c>
      <c r="B112" s="25" t="inlineStr">
        <is>
          <t>Storefront</t>
        </is>
      </c>
      <c r="C112" s="25" t="inlineStr">
        <is>
          <t>8. Sign-in &amp; registration</t>
        </is>
      </c>
      <c r="D112" s="25" t="inlineStr">
        <is>
          <t>Registration</t>
        </is>
      </c>
      <c r="E112" s="25" t="inlineStr">
        <is>
          <t>Entering the correct emailed code creates the account, signs the new member in and lands on profile onboarding.</t>
        </is>
      </c>
      <c r="F112" s="13" t="inlineStr">
        <is>
          <t>Critical</t>
        </is>
      </c>
      <c r="G112" s="25" t="inlineStr">
        <is>
          <t>Positive</t>
        </is>
      </c>
      <c r="H112" s="25" t="inlineStr">
        <is>
          <t>Dev environment (not production). Anonymous session. Internet access to api.mail.tm. Test timeout 120 s.</t>
        </is>
      </c>
      <c r="I112" s="25" t="inlineStr">
        <is>
          <t>New mail.tm inbox. Name: E2E Test User. Password: E2eSuite!2026. Expected sender: system@musticker.com.</t>
        </is>
      </c>
      <c r="J112" s="25" t="inlineStr">
        <is>
          <t xml:space="preserve">1. Create a disposable mail.tm inbox.
2. Open /kr/auth/register, fill name, the inbox address and password, tick the terms box and click submit.
3. Wait for the 인증 요청 code modal.
4. Read the email whose subject contains 인증 and check the sender.
5. Enter the emailed 4-digit code and confirm.
6. Inspect the page the app lands on.</t>
        </is>
      </c>
      <c r="K112" s="25" t="inlineStr">
        <is>
          <t>The verification request answers 201 and the modal opens. The email comes from system@musticker.com. The account-creation response is 201. The URL becomes /kr/auth/profile, a heading containing 님, 환영합니다! is visible, the continue button (auth-profile-continue-button) is visible, and the email field (auth-profile-email-control) holds the inbox address. Suite guard: no unexpected console errors or HTTP 4xx/5xx.</t>
        </is>
      </c>
      <c r="L112" s="13" t="inlineStr">
        <is>
          <t>Automated</t>
        </is>
      </c>
      <c r="M112" s="25" t="inlineStr">
        <is>
          <t>Dev only</t>
        </is>
      </c>
      <c r="N112" s="25" t="inlineStr">
        <is>
          <t>RUN_AUTH_DESTRUCTIVE_E2E=true; api.mail.tm reachable; optional TEST_DATA_USER_DELETE_ENDPOINT (+ API_TOKEN) for cleanup</t>
        </is>
      </c>
      <c r="O112" s="25" t="inlineStr">
        <is>
          <t>tests/e2e/storefront/auth/registration.spec.ts</t>
        </is>
      </c>
      <c r="P112" s="25" t="inlineStr">
        <is>
          <t>MS-AUTH-021 a correct verification code creates the account and signs the new member in</t>
        </is>
      </c>
      <c r="Q112" s="25" t="inlineStr">
        <is>
          <t>@auth @production @destructive @slow</t>
        </is>
      </c>
      <c r="R112" s="13" t="n">
        <v>1</v>
      </c>
      <c r="S112" s="25" t="inlineStr">
        <is>
          <t>Discrepancy: test-case.md says the account needs no cleanup; the code records it (createdBy MS-AUTH-021) in .auth/created-accounts.jsonl, and global teardown deletes it only when TEST_DATA_USER_DELETE_ENDPOINT is set. Otherwise teardown warns and the real account stays on the dev server. Carries @production from its describe block but is gated and excluded from prod scripts by @destructive; do not run on production.</t>
        </is>
      </c>
      <c r="T112" s="14" t="inlineStr">
        <is>
          <t>Not Run</t>
        </is>
      </c>
      <c r="U112" s="15" t="n"/>
      <c r="V112" s="15" t="n"/>
      <c r="W112" s="15" t="n"/>
      <c r="X112" s="15" t="n"/>
      <c r="Y112" s="25" t="inlineStr">
        <is>
          <t>MS-V2-088</t>
        </is>
      </c>
    </row>
    <row r="113" ht="150" customHeight="1">
      <c r="A113" s="12" t="inlineStr">
        <is>
          <t>MS-AUTH-022</t>
        </is>
      </c>
      <c r="B113" s="25" t="inlineStr">
        <is>
          <t>Storefront</t>
        </is>
      </c>
      <c r="C113" s="25" t="inlineStr">
        <is>
          <t>8. Sign-in &amp; registration</t>
        </is>
      </c>
      <c r="D113" s="25" t="inlineStr">
        <is>
          <t>Change password</t>
        </is>
      </c>
      <c r="E113" s="25" t="inlineStr">
        <is>
          <t>The account profile page shows the member summary and the change-password section with three masked fields, submit, recovery entry and policy text.</t>
        </is>
      </c>
      <c r="F113" s="13" t="inlineStr">
        <is>
          <t>Critical</t>
        </is>
      </c>
      <c r="G113" s="25" t="inlineStr">
        <is>
          <t>Smoke</t>
        </is>
      </c>
      <c r="H113" s="25" t="inlineStr">
        <is>
          <t>Seeded member signed in (API session, not the login form).</t>
        </is>
      </c>
      <c r="I113" s="25" t="inlineStr">
        <is>
          <t>Member: AUTH_TEST_EMAIL / AUTH_TEST_PASSWORD.</t>
        </is>
      </c>
      <c r="J113" s="25" t="inlineStr">
        <is>
          <t xml:space="preserve">1. Sign in as the seeded member.
2. Open /kr/account/profile and wait for the page to become interactive.
3. Check the account shell and summary.
4. Check the 비밀번호 section.</t>
        </is>
      </c>
      <c r="K113" s="25" t="inlineStr">
        <is>
          <t>Account shell, profile tab and orders stat are visible. The password section is visible with current, new and confirm password fields, each visible and type=password. The 비밀번호 변경 button and the forgot-password entry are visible. The section contains the policy text 비밀번호는 최소 6자 이상 ... 대문자, 숫자. Suite guard: no unexpected console errors or HTTP 4xx/5xx.</t>
        </is>
      </c>
      <c r="L113" s="13" t="inlineStr">
        <is>
          <t>Automated</t>
        </is>
      </c>
      <c r="M113" s="25" t="inlineStr">
        <is>
          <t>Production-safe</t>
        </is>
      </c>
      <c r="N113" s="25" t="inlineStr">
        <is>
          <t>AUTH_TEST_EMAIL/AUTH_TEST_PASSWORD</t>
        </is>
      </c>
      <c r="O113" s="25" t="inlineStr">
        <is>
          <t>tests/e2e/storefront/auth/change-password.spec.ts</t>
        </is>
      </c>
      <c r="P113" s="25" t="inlineStr">
        <is>
          <t>MS-AUTH-022 account profile exposes the password change controls @smoke</t>
        </is>
      </c>
      <c r="Q113" s="25" t="inlineStr">
        <is>
          <t>@auth @production @credentialed @smoke</t>
        </is>
      </c>
      <c r="R113" s="13" t="n">
        <v>1</v>
      </c>
      <c r="S113" s="25" t="inlineStr">
        <is>
          <t>Read-only. Page load toggles the current-password visibility once to confirm hydration and restores it to masked.</t>
        </is>
      </c>
      <c r="T113" s="14" t="inlineStr">
        <is>
          <t>Not Run</t>
        </is>
      </c>
      <c r="U113" s="15" t="n"/>
      <c r="V113" s="15" t="n"/>
      <c r="W113" s="15" t="n"/>
      <c r="X113" s="15" t="n"/>
      <c r="Y113" s="25" t="inlineStr">
        <is>
          <t>MS-V2-089</t>
        </is>
      </c>
    </row>
    <row r="114" ht="150" customHeight="1">
      <c r="A114" s="12" t="inlineStr">
        <is>
          <t>MS-AUTH-023</t>
        </is>
      </c>
      <c r="B114" s="25" t="inlineStr">
        <is>
          <t>Storefront</t>
        </is>
      </c>
      <c r="C114" s="25" t="inlineStr">
        <is>
          <t>8. Sign-in &amp; registration</t>
        </is>
      </c>
      <c r="D114" s="25" t="inlineStr">
        <is>
          <t>Change password</t>
        </is>
      </c>
      <c r="E114" s="25" t="inlineStr">
        <is>
          <t>The 비밀번호 변경 button stays disabled until current, new and confirm password are all filled.</t>
        </is>
      </c>
      <c r="F114" s="13" t="inlineStr">
        <is>
          <t>High</t>
        </is>
      </c>
      <c r="G114" s="25" t="inlineStr">
        <is>
          <t>Validation</t>
        </is>
      </c>
      <c r="H114" s="25" t="inlineStr">
        <is>
          <t>Seeded member signed in (API session). /kr/account/profile open.</t>
        </is>
      </c>
      <c r="I114" s="25" t="inlineStr">
        <is>
          <t>Current: AUTH_TEST_PASSWORD. New and confirm: E2eSuite!2027.</t>
        </is>
      </c>
      <c r="J114" s="25" t="inlineStr">
        <is>
          <t xml:space="preserve">1. Open /kr/account/profile as the seeded member.
2. Check the 비밀번호 변경 button with all fields empty.
3. Fill the current password field.
4. Fill the new password field.
5. Fill the confirm password field.</t>
        </is>
      </c>
      <c r="K114" s="25" t="inlineStr">
        <is>
          <t>The button is disabled after steps 2, 3 and 4, and becomes enabled after step 5. Suite guard: no unexpected console errors or HTTP 4xx/5xx.</t>
        </is>
      </c>
      <c r="L114" s="13" t="inlineStr">
        <is>
          <t>Automated</t>
        </is>
      </c>
      <c r="M114" s="25" t="inlineStr">
        <is>
          <t>Production-safe</t>
        </is>
      </c>
      <c r="N114" s="25" t="inlineStr">
        <is>
          <t>AUTH_TEST_EMAIL/AUTH_TEST_PASSWORD</t>
        </is>
      </c>
      <c r="O114" s="25" t="inlineStr">
        <is>
          <t>tests/e2e/storefront/auth/change-password.spec.ts</t>
        </is>
      </c>
      <c r="P114" s="25" t="inlineStr">
        <is>
          <t>MS-AUTH-023 change password stays disabled until every field is filled @validation</t>
        </is>
      </c>
      <c r="Q114" s="25" t="inlineStr">
        <is>
          <t>@auth @production @credentialed @validation</t>
        </is>
      </c>
      <c r="R114" s="13" t="n">
        <v>1</v>
      </c>
      <c r="S114" s="25" t="inlineStr">
        <is>
          <t>Nothing is submitted. Manual testers: do not click the enabled button here, since it would change the seeded member's password.</t>
        </is>
      </c>
      <c r="T114" s="14" t="inlineStr">
        <is>
          <t>Not Run</t>
        </is>
      </c>
      <c r="U114" s="15" t="n"/>
      <c r="V114" s="15" t="n"/>
      <c r="W114" s="15" t="n"/>
      <c r="X114" s="15" t="n"/>
      <c r="Y114" s="25" t="inlineStr">
        <is>
          <t>MS-V2-090</t>
        </is>
      </c>
    </row>
    <row r="115" ht="150" customHeight="1">
      <c r="A115" s="12" t="inlineStr">
        <is>
          <t>MS-AUTH-024</t>
        </is>
      </c>
      <c r="B115" s="25" t="inlineStr">
        <is>
          <t>Storefront</t>
        </is>
      </c>
      <c r="C115" s="25" t="inlineStr">
        <is>
          <t>8. Sign-in &amp; registration</t>
        </is>
      </c>
      <c r="D115" s="25" t="inlineStr">
        <is>
          <t>Change password</t>
        </is>
      </c>
      <c r="E115" s="25" t="inlineStr">
        <is>
          <t>A change-password attempt whose confirmation does not match the new password is rejected with a mismatch error.</t>
        </is>
      </c>
      <c r="F115" s="13" t="inlineStr">
        <is>
          <t>Critical</t>
        </is>
      </c>
      <c r="G115" s="25" t="inlineStr">
        <is>
          <t>Validation</t>
        </is>
      </c>
      <c r="H115" s="25" t="inlineStr">
        <is>
          <t>Seeded member signed in (API session). /kr/account/profile open.</t>
        </is>
      </c>
      <c r="I115" s="25" t="inlineStr">
        <is>
          <t>Current: AUTH_TEST_PASSWORD (correct). New: E2eSuite!2027. Confirm: E2eSuite!2027-different.</t>
        </is>
      </c>
      <c r="J115" s="25" t="inlineStr">
        <is>
          <t xml:space="preserve">1. Open /kr/account/profile as the seeded member.
2. Enter the correct current password.
3. Enter E2eSuite!2027 as the new password and E2eSuite!2027-different as the confirmation.
4. Click 비밀번호 변경 and wait for the /sys/kr/profile/password response.</t>
        </is>
      </c>
      <c r="K115" s="25" t="inlineStr">
        <is>
          <t>A field error in the password section reads 비밀번호가 일치하지 않습니다. Suite guard: no unexpected console errors or HTTP 4xx/5xx.</t>
        </is>
      </c>
      <c r="L115" s="13" t="inlineStr">
        <is>
          <t>Automated</t>
        </is>
      </c>
      <c r="M115" s="25" t="inlineStr">
        <is>
          <t>Production-safe</t>
        </is>
      </c>
      <c r="N115" s="25" t="inlineStr">
        <is>
          <t>AUTH_TEST_EMAIL/AUTH_TEST_PASSWORD</t>
        </is>
      </c>
      <c r="O115" s="25" t="inlineStr">
        <is>
          <t>tests/e2e/storefront/auth/change-password.spec.ts</t>
        </is>
      </c>
      <c r="P115" s="25" t="inlineStr">
        <is>
          <t>MS-AUTH-024 a mismatched confirmation is rejected @validation</t>
        </is>
      </c>
      <c r="Q115" s="25" t="inlineStr">
        <is>
          <t>@auth @production @credentialed @validation</t>
        </is>
      </c>
      <c r="R115" s="13" t="n">
        <v>1</v>
      </c>
      <c r="S115" s="25" t="inlineStr">
        <is>
          <t>The request really is sent to PUT /sys/kr/profile/password with the seeded member's correct current password; the server answers HTTP 200 with the reason in the body. If the server ever stopped checking the confirmation, this run would change the seeded password and break every @credentialed test. Manual testers should prefer a throwaway account.</t>
        </is>
      </c>
      <c r="T115" s="14" t="inlineStr">
        <is>
          <t>Not Run</t>
        </is>
      </c>
      <c r="U115" s="15" t="n"/>
      <c r="V115" s="15" t="n"/>
      <c r="W115" s="15" t="n"/>
      <c r="X115" s="15" t="n"/>
      <c r="Y115" s="25" t="inlineStr">
        <is>
          <t>MS-V2-091</t>
        </is>
      </c>
    </row>
    <row r="116" ht="150" customHeight="1">
      <c r="A116" s="12" t="inlineStr">
        <is>
          <t>MS-AUTH-025</t>
        </is>
      </c>
      <c r="B116" s="25" t="inlineStr">
        <is>
          <t>Storefront</t>
        </is>
      </c>
      <c r="C116" s="25" t="inlineStr">
        <is>
          <t>8. Sign-in &amp; registration</t>
        </is>
      </c>
      <c r="D116" s="25" t="inlineStr">
        <is>
          <t>Change password</t>
        </is>
      </c>
      <c r="E116" s="25" t="inlineStr">
        <is>
          <t>A new password that does not meet the password policy is rejected.</t>
        </is>
      </c>
      <c r="F116" s="13" t="inlineStr">
        <is>
          <t>High</t>
        </is>
      </c>
      <c r="G116" s="25" t="inlineStr">
        <is>
          <t>Validation</t>
        </is>
      </c>
      <c r="H116" s="25" t="inlineStr">
        <is>
          <t>Seeded member signed in (API session). /kr/account/profile open.</t>
        </is>
      </c>
      <c r="I116" s="25" t="inlineStr">
        <is>
          <t>Current: AUTH_TEST_PASSWORD (correct). New and confirm: abc.</t>
        </is>
      </c>
      <c r="J116" s="25" t="inlineStr">
        <is>
          <t xml:space="preserve">1. Open /kr/account/profile as the seeded member.
2. Enter the correct current password.
3. Enter abc as both the new password and the confirmation.
4. Click 비밀번호 변경 and wait for the /sys/kr/profile/password response.</t>
        </is>
      </c>
      <c r="K116" s="25" t="inlineStr">
        <is>
          <t>A field error in the password section reads 비밀번호가 설정 요구사항을 충족하지 않습니다. Suite guard: no unexpected console errors or HTTP 4xx/5xx.</t>
        </is>
      </c>
      <c r="L116" s="13" t="inlineStr">
        <is>
          <t>Automated</t>
        </is>
      </c>
      <c r="M116" s="25" t="inlineStr">
        <is>
          <t>Production-safe</t>
        </is>
      </c>
      <c r="N116" s="25" t="inlineStr">
        <is>
          <t>AUTH_TEST_EMAIL/AUTH_TEST_PASSWORD</t>
        </is>
      </c>
      <c r="O116" s="25" t="inlineStr">
        <is>
          <t>tests/e2e/storefront/auth/change-password.spec.ts</t>
        </is>
      </c>
      <c r="P116" s="25" t="inlineStr">
        <is>
          <t>MS-AUTH-025 a new password below the policy is rejected @validation</t>
        </is>
      </c>
      <c r="Q116" s="25" t="inlineStr">
        <is>
          <t>@auth @production @credentialed @validation</t>
        </is>
      </c>
      <c r="R116" s="13" t="n">
        <v>1</v>
      </c>
      <c r="S116" s="25" t="inlineStr">
        <is>
          <t>Wording differs from the register form's 비밀번호가 요구 사항을 충족하지 않습니다. The request is sent with the real current password (HTTP 200 with the reason in the body).</t>
        </is>
      </c>
      <c r="T116" s="14" t="inlineStr">
        <is>
          <t>Not Run</t>
        </is>
      </c>
      <c r="U116" s="15" t="n"/>
      <c r="V116" s="15" t="n"/>
      <c r="W116" s="15" t="n"/>
      <c r="X116" s="15" t="n"/>
      <c r="Y116" s="25" t="inlineStr">
        <is>
          <t>MS-V2-092</t>
        </is>
      </c>
    </row>
    <row r="117" ht="150" customHeight="1">
      <c r="A117" s="12" t="inlineStr">
        <is>
          <t>MS-AUTH-026</t>
        </is>
      </c>
      <c r="B117" s="25" t="inlineStr">
        <is>
          <t>Storefront</t>
        </is>
      </c>
      <c r="C117" s="25" t="inlineStr">
        <is>
          <t>8. Sign-in &amp; registration</t>
        </is>
      </c>
      <c r="D117" s="25" t="inlineStr">
        <is>
          <t>Change password</t>
        </is>
      </c>
      <c r="E117" s="25" t="inlineStr">
        <is>
          <t>A change-password attempt with a wrong current password is rejected.</t>
        </is>
      </c>
      <c r="F117" s="13" t="inlineStr">
        <is>
          <t>Critical</t>
        </is>
      </c>
      <c r="G117" s="25" t="inlineStr">
        <is>
          <t>Negative</t>
        </is>
      </c>
      <c r="H117" s="25" t="inlineStr">
        <is>
          <t>Seeded member signed in (API session). /kr/account/profile open.</t>
        </is>
      </c>
      <c r="I117" s="25" t="inlineStr">
        <is>
          <t>Current: DefinitelyNotTheCurrentPassword!9 (wrong). New and confirm: E2eSuite!2027.</t>
        </is>
      </c>
      <c r="J117" s="25" t="inlineStr">
        <is>
          <t xml:space="preserve">1. Open /kr/account/profile as the seeded member.
2. Enter DefinitelyNotTheCurrentPassword!9 as the current password.
3. Enter E2eSuite!2027 as the new password and confirmation.
4. Click 비밀번호 변경 and wait for the /sys/kr/profile/password response.</t>
        </is>
      </c>
      <c r="K117" s="25" t="inlineStr">
        <is>
          <t>A field error in the password section reads 비밀번호가 올바르지 않습니다. Suite guard: no unexpected console errors or HTTP 4xx/5xx.</t>
        </is>
      </c>
      <c r="L117" s="13" t="inlineStr">
        <is>
          <t>Automated</t>
        </is>
      </c>
      <c r="M117" s="25" t="inlineStr">
        <is>
          <t>Production-safe</t>
        </is>
      </c>
      <c r="N117" s="25" t="inlineStr">
        <is>
          <t>AUTH_TEST_EMAIL/AUTH_TEST_PASSWORD</t>
        </is>
      </c>
      <c r="O117" s="25" t="inlineStr">
        <is>
          <t>tests/e2e/storefront/auth/change-password.spec.ts</t>
        </is>
      </c>
      <c r="P117" s="25" t="inlineStr">
        <is>
          <t>MS-AUTH-026 a wrong current password is rejected @validation</t>
        </is>
      </c>
      <c r="Q117" s="25" t="inlineStr">
        <is>
          <t>@auth @production @credentialed @validation</t>
        </is>
      </c>
      <c r="R117" s="13" t="n">
        <v>1</v>
      </c>
      <c r="S117" s="25" t="inlineStr">
        <is>
          <t>test-case.md says the credential is not changed; the code only checks the error message, it does not re-verify the old password afterwards.</t>
        </is>
      </c>
      <c r="T117" s="14" t="inlineStr">
        <is>
          <t>Not Run</t>
        </is>
      </c>
      <c r="U117" s="15" t="n"/>
      <c r="V117" s="15" t="n"/>
      <c r="W117" s="15" t="n"/>
      <c r="X117" s="15" t="n"/>
      <c r="Y117" s="25" t="inlineStr">
        <is>
          <t>MS-V2-093</t>
        </is>
      </c>
    </row>
    <row r="118" ht="150" customHeight="1">
      <c r="A118" s="12" t="inlineStr">
        <is>
          <t>MS-AUTH-027</t>
        </is>
      </c>
      <c r="B118" s="25" t="inlineStr">
        <is>
          <t>Storefront</t>
        </is>
      </c>
      <c r="C118" s="25" t="inlineStr">
        <is>
          <t>8. Sign-in &amp; registration</t>
        </is>
      </c>
      <c r="D118" s="25" t="inlineStr">
        <is>
          <t>Change password</t>
        </is>
      </c>
      <c r="E118" s="25" t="inlineStr">
        <is>
          <t>Changing a password really rotates the credential: the new password logs in and the old one is refused.</t>
        </is>
      </c>
      <c r="F118" s="13" t="inlineStr">
        <is>
          <t>Critical</t>
        </is>
      </c>
      <c r="G118" s="25" t="inlineStr">
        <is>
          <t>Positive</t>
        </is>
      </c>
      <c r="H118" s="25" t="inlineStr">
        <is>
          <t>Dev environment (not production). Anonymous session. Internet access to api.mail.tm. Test timeout 180 s.</t>
        </is>
      </c>
      <c r="I118" s="25" t="inlineStr">
        <is>
          <t>Throwaway account: name E2E Test User, email = new mail.tm inbox, password E2eSuite!2026, rotated to E2eSuite!2027.</t>
        </is>
      </c>
      <c r="J118" s="25" t="inlineStr">
        <is>
          <t xml:space="preserve">1. Create a disposable mail.tm inbox.
2. Open /kr/auth/register, fill name, email and password, tick the terms box and click 계정 만들기; wait for the 인증 요청 code modal.
3. Read the email whose subject contains 인증, enter its 4-digit code and confirm.
4. Open /kr/account/profile and change the password from E2eSuite!2026 to E2eSuite!2027 (confirm E2eSuite!2027), click 비밀번호 변경.
5. Clear cookies, open /kr/auth/login and sign in with the new password; open the account menu.
6. Clear cookies, open /kr/auth/login and try the old password.</t>
        </is>
      </c>
      <c r="K118" s="25" t="inlineStr">
        <is>
          <t>Verification request answers 201 and the modal opens; the code submission answers 201 and the app lands on /kr/auth/profile. After the change, all three password fields are empty and no field error is shown (no toast exists). Login with the new password shows 로그인에 성공했습니다 and the member menu with a logout button. Login with the old password shows 이메일 주소 &amp; 비밀번호가 일치하지 않습니다., no member menu, and the URL stays /kr/auth/login. Suite guard: no unexpected console errors or HTTP 4xx/5xx.</t>
        </is>
      </c>
      <c r="L118" s="13" t="inlineStr">
        <is>
          <t>Automated</t>
        </is>
      </c>
      <c r="M118" s="25" t="inlineStr">
        <is>
          <t>Dev only</t>
        </is>
      </c>
      <c r="N118" s="25" t="inlineStr">
        <is>
          <t>RUN_AUTH_DESTRUCTIVE_E2E=true; api.mail.tm reachable; optional TEST_DATA_USER_DELETE_ENDPOINT (+ API_TOKEN) for cleanup</t>
        </is>
      </c>
      <c r="O118" s="25" t="inlineStr">
        <is>
          <t>tests/e2e/storefront/auth/change-password.spec.ts</t>
        </is>
      </c>
      <c r="P118" s="25" t="inlineStr">
        <is>
          <t>MS-AUTH-027 changing a password rotates the credential end to end</t>
        </is>
      </c>
      <c r="Q118" s="25" t="inlineStr">
        <is>
          <t>@auth @production @destructive @slow</t>
        </is>
      </c>
      <c r="R118" s="13" t="n">
        <v>1</v>
      </c>
      <c r="S118" s="25" t="inlineStr">
        <is>
          <t>Creates a real member account. It is recorded (createdBy MS-AUTH-027) in .auth/created-accounts.jsonl; global teardown deletes it only when TEST_DATA_USER_DELETE_ENDPOINT is set, otherwise it just warns and the account stays on the server. Carries @production through its describe block but is skipped unless RUN_AUTH_DESTRUCTIVE_E2E=true and excluded from the prod scripts by @destructive; never run on production. Uses its own account so the seeded member's password is never touched.</t>
        </is>
      </c>
      <c r="T118" s="14" t="inlineStr">
        <is>
          <t>Not Run</t>
        </is>
      </c>
      <c r="U118" s="15" t="n"/>
      <c r="V118" s="15" t="n"/>
      <c r="W118" s="15" t="n"/>
      <c r="X118" s="15" t="n"/>
      <c r="Y118" s="25" t="inlineStr">
        <is>
          <t>MS-V2-094</t>
        </is>
      </c>
    </row>
    <row r="119" ht="150" customHeight="1">
      <c r="A119" s="12" t="inlineStr">
        <is>
          <t>MS-AUTH-028</t>
        </is>
      </c>
      <c r="B119" s="25" t="inlineStr">
        <is>
          <t>Storefront</t>
        </is>
      </c>
      <c r="C119" s="25" t="inlineStr">
        <is>
          <t>8. Sign-in &amp; registration</t>
        </is>
      </c>
      <c r="D119" s="25" t="inlineStr">
        <is>
          <t>Login</t>
        </is>
      </c>
      <c r="E119" s="25" t="inlineStr">
        <is>
          <t>An anonymous visitor who opens a member-only account URL does not see the account page and is sent elsewhere.</t>
        </is>
      </c>
      <c r="F119" s="13" t="inlineStr">
        <is>
          <t>Critical</t>
        </is>
      </c>
      <c r="G119" s="25" t="inlineStr">
        <is>
          <t>Security</t>
        </is>
      </c>
      <c r="H119" s="25" t="inlineStr">
        <is>
          <t>Anonymous session.</t>
        </is>
      </c>
      <c r="I119" s="25" t="inlineStr">
        <is>
          <t>URL: /kr/account/profile.</t>
        </is>
      </c>
      <c r="J119" s="25" t="inlineStr">
        <is>
          <t xml:space="preserve">1. Start from a fresh browser session with no login.
2. Open /kr/account/profile directly by URL.
3. Check the page content and the final URL after any redirect.</t>
        </is>
      </c>
      <c r="K119" s="25" t="inlineStr">
        <is>
          <t>The account profile page (account-profile-page) is never rendered, and the final URL is not /kr/account/profile. Suite guard: no unexpected console errors or HTTP 4xx/5xx.</t>
        </is>
      </c>
      <c r="L119" s="13" t="inlineStr">
        <is>
          <t>Automated</t>
        </is>
      </c>
      <c r="M119" s="25" t="inlineStr">
        <is>
          <t>Production-safe</t>
        </is>
      </c>
      <c r="N119" s="25" t="inlineStr">
        <is>
          <t>-</t>
        </is>
      </c>
      <c r="O119" s="25" t="inlineStr">
        <is>
          <t>tests/e2e/storefront/auth/login.spec.ts</t>
        </is>
      </c>
      <c r="P119" s="25" t="inlineStr">
        <is>
          <t>MS-AUTH-028 a member-only route is not reachable anonymously</t>
        </is>
      </c>
      <c r="Q119" s="25" t="inlineStr">
        <is>
          <t>@auth @production</t>
        </is>
      </c>
      <c r="R119" s="13" t="n">
        <v>1</v>
      </c>
      <c r="S119" s="25" t="inlineStr">
        <is>
          <t>On development-1 the app redirects to the storefront home, not to login; the test accepts either destination. Only /kr/account/profile is checked.</t>
        </is>
      </c>
      <c r="T119" s="14" t="inlineStr">
        <is>
          <t>Not Run</t>
        </is>
      </c>
      <c r="U119" s="15" t="n"/>
      <c r="V119" s="15" t="n"/>
      <c r="W119" s="15" t="n"/>
      <c r="X119" s="15" t="n"/>
      <c r="Y119" s="25" t="inlineStr">
        <is>
          <t>MS-V2-095</t>
        </is>
      </c>
    </row>
    <row r="120" ht="150" customHeight="1">
      <c r="A120" s="12" t="inlineStr">
        <is>
          <t>MS-AUTH-029</t>
        </is>
      </c>
      <c r="B120" s="25" t="inlineStr">
        <is>
          <t>Storefront</t>
        </is>
      </c>
      <c r="C120" s="25" t="inlineStr">
        <is>
          <t>8. Sign-in &amp; registration</t>
        </is>
      </c>
      <c r="D120" s="25" t="inlineStr">
        <is>
          <t>Guest order lookup</t>
        </is>
      </c>
      <c r="E120" s="25" t="inlineStr">
        <is>
          <t>Switching the login page to non-member mode replaces the password form with an email and order-number lookup.</t>
        </is>
      </c>
      <c r="F120" s="13" t="inlineStr">
        <is>
          <t>Medium</t>
        </is>
      </c>
      <c r="G120" s="25" t="inlineStr">
        <is>
          <t>UI</t>
        </is>
      </c>
      <c r="H120" s="25" t="inlineStr">
        <is>
          <t>Anonymous session.</t>
        </is>
      </c>
      <c r="I120" s="25" t="inlineStr">
        <is>
          <t>None.</t>
        </is>
      </c>
      <c r="J120" s="25" t="inlineStr">
        <is>
          <t xml:space="preserve">1. Open /kr/auth/login.
2. Click the 비회원 (non-member) mode button.
3. Inspect the form.</t>
        </is>
      </c>
      <c r="K120" s="25" t="inlineStr">
        <is>
          <t>The non-member email field, order-number field and lookup button are visible; the member form and member password field are gone (count 0); the non-member email field has type=email. Suite guard: no unexpected console errors or HTTP 4xx/5xx.</t>
        </is>
      </c>
      <c r="L120" s="13" t="inlineStr">
        <is>
          <t>Automated</t>
        </is>
      </c>
      <c r="M120" s="25" t="inlineStr">
        <is>
          <t>Production-safe</t>
        </is>
      </c>
      <c r="N120" s="25" t="inlineStr">
        <is>
          <t>-</t>
        </is>
      </c>
      <c r="O120" s="25" t="inlineStr">
        <is>
          <t>tests/e2e/storefront/auth/guest-order-lookup.spec.ts</t>
        </is>
      </c>
      <c r="P120" s="25" t="inlineStr">
        <is>
          <t>MS-AUTH-029 non-member mode swaps in the guest order-lookup form</t>
        </is>
      </c>
      <c r="Q120" s="25" t="inlineStr">
        <is>
          <t>@auth @production</t>
        </is>
      </c>
      <c r="R120" s="13" t="n">
        <v>1</v>
      </c>
      <c r="S120" s="25" t="inlineStr">
        <is>
          <t>Nothing is submitted; actual lookups are MS-AUTH-030 to MS-AUTH-032.</t>
        </is>
      </c>
      <c r="T120" s="14" t="inlineStr">
        <is>
          <t>Not Run</t>
        </is>
      </c>
      <c r="U120" s="15" t="n"/>
      <c r="V120" s="15" t="n"/>
      <c r="W120" s="15" t="n"/>
      <c r="X120" s="15" t="n"/>
      <c r="Y120" s="25" t="inlineStr">
        <is>
          <t>MS-V2-096</t>
        </is>
      </c>
    </row>
    <row r="121" ht="150" customHeight="1">
      <c r="A121" s="12" t="inlineStr">
        <is>
          <t>MS-AUTH-030</t>
        </is>
      </c>
      <c r="B121" s="25" t="inlineStr">
        <is>
          <t>Storefront</t>
        </is>
      </c>
      <c r="C121" s="25" t="inlineStr">
        <is>
          <t>8. Sign-in &amp; registration</t>
        </is>
      </c>
      <c r="D121" s="25" t="inlineStr">
        <is>
          <t>Guest order lookup</t>
        </is>
      </c>
      <c r="E121" s="25" t="inlineStr">
        <is>
          <t>Guest order lookup refuses an unknown order number and leaves the visitor anonymous on the login page.</t>
        </is>
      </c>
      <c r="F121" s="13" t="inlineStr">
        <is>
          <t>High</t>
        </is>
      </c>
      <c r="G121" s="25" t="inlineStr">
        <is>
          <t>Negative</t>
        </is>
      </c>
      <c r="H121" s="25" t="inlineStr">
        <is>
          <t>Anonymous session.</t>
        </is>
      </c>
      <c r="I121" s="25" t="inlineStr">
        <is>
          <t>Email: invalid-login-e2e@example.com (never registered). Order number: AO-000000-E2E-NOPE.</t>
        </is>
      </c>
      <c r="J121" s="25" t="inlineStr">
        <is>
          <t xml:space="preserve">1. Open /kr/auth/login.
2. Switch to 비회원 (non-member) mode.
3. Enter invalid-login-e2e@example.com and AO-000000-E2E-NOPE.
4. Click the lookup submit button and wait for the POST /sys/kr/auth/login/guest/verification response.</t>
        </is>
      </c>
      <c r="K121" s="25" t="inlineStr">
        <is>
          <t>Non-member mode shows the email and order-number fields and the lookup button, and hides the member form. The order-number field error reads exactly 존재하지 않는 주문입니다. The URL is still /kr/auth/login and no member account dropdown exists. Suite guard: no unexpected console errors or HTTP 4xx/5xx (expected auth failures allowed).</t>
        </is>
      </c>
      <c r="L121" s="13" t="inlineStr">
        <is>
          <t>Automated</t>
        </is>
      </c>
      <c r="M121" s="25" t="inlineStr">
        <is>
          <t>Production-safe</t>
        </is>
      </c>
      <c r="N121" s="25" t="inlineStr">
        <is>
          <t>-</t>
        </is>
      </c>
      <c r="O121" s="25" t="inlineStr">
        <is>
          <t>tests/e2e/storefront/auth/guest-order-lookup.spec.ts</t>
        </is>
      </c>
      <c r="P121" s="25" t="inlineStr">
        <is>
          <t>MS-AUTH-030 an unknown order number is refused without signing anyone in</t>
        </is>
      </c>
      <c r="Q121" s="25" t="inlineStr">
        <is>
          <t>@auth @production @validation</t>
        </is>
      </c>
      <c r="R121" s="13" t="n">
        <v>1</v>
      </c>
      <c r="S121" s="25" t="inlineStr">
        <is>
          <t>The endpoint answers HTTP 200 with the refusal in the body. No email is sent and no order is exposed.</t>
        </is>
      </c>
      <c r="T121" s="14" t="inlineStr">
        <is>
          <t>Not Run</t>
        </is>
      </c>
      <c r="U121" s="15" t="n"/>
      <c r="V121" s="15" t="n"/>
      <c r="W121" s="15" t="n"/>
      <c r="X121" s="15" t="n"/>
      <c r="Y121" s="25" t="inlineStr">
        <is>
          <t>MS-V2-112</t>
        </is>
      </c>
    </row>
    <row r="122" ht="150" customHeight="1">
      <c r="A122" s="12" t="inlineStr">
        <is>
          <t>MS-AUTH-031</t>
        </is>
      </c>
      <c r="B122" s="25" t="inlineStr">
        <is>
          <t>Storefront</t>
        </is>
      </c>
      <c r="C122" s="25" t="inlineStr">
        <is>
          <t>8. Sign-in &amp; registration</t>
        </is>
      </c>
      <c r="D122" s="25" t="inlineStr">
        <is>
          <t>Guest order lookup</t>
        </is>
      </c>
      <c r="E122" s="25" t="inlineStr">
        <is>
          <t>Submitting a blank guest order lookup marks both fields required and never calls the lookup endpoint.</t>
        </is>
      </c>
      <c r="F122" s="13" t="inlineStr">
        <is>
          <t>High</t>
        </is>
      </c>
      <c r="G122" s="25" t="inlineStr">
        <is>
          <t>Validation</t>
        </is>
      </c>
      <c r="H122" s="25" t="inlineStr">
        <is>
          <t>Anonymous session.</t>
        </is>
      </c>
      <c r="I122" s="25" t="inlineStr">
        <is>
          <t>Email and order number both empty.</t>
        </is>
      </c>
      <c r="J122" s="25" t="inlineStr">
        <is>
          <t xml:space="preserve">1. Open /kr/auth/login.
2. Switch to 비회원 (non-member) mode.
3. Leave email and order number empty and click the lookup submit button.</t>
        </is>
      </c>
      <c r="K122" s="25" t="inlineStr">
        <is>
          <t>The email error and the order-number error each read 필수 입력 항목입니다. No POST to /sys/kr/auth/login/guest/verification is sent. The URL stays /kr/auth/login. Suite guard: no unexpected console errors or HTTP 4xx/5xx.</t>
        </is>
      </c>
      <c r="L122" s="13" t="inlineStr">
        <is>
          <t>Automated</t>
        </is>
      </c>
      <c r="M122" s="25" t="inlineStr">
        <is>
          <t>Production-safe</t>
        </is>
      </c>
      <c r="N122" s="25" t="inlineStr">
        <is>
          <t>-</t>
        </is>
      </c>
      <c r="O122" s="25" t="inlineStr">
        <is>
          <t>tests/e2e/storefront/auth/guest-order-lookup.spec.ts</t>
        </is>
      </c>
      <c r="P122" s="25" t="inlineStr">
        <is>
          <t>MS-AUTH-031 blank guest lookup is blocked before the endpoint is called @validation</t>
        </is>
      </c>
      <c r="Q122" s="25" t="inlineStr">
        <is>
          <t>@auth @production @validation</t>
        </is>
      </c>
      <c r="R122" s="13" t="n">
        <v>1</v>
      </c>
      <c r="S122" s="25" t="inlineStr">
        <is>
          <t>@validation appears both on the describe block and in the title.</t>
        </is>
      </c>
      <c r="T122" s="14" t="inlineStr">
        <is>
          <t>Not Run</t>
        </is>
      </c>
      <c r="U122" s="15" t="n"/>
      <c r="V122" s="15" t="n"/>
      <c r="W122" s="15" t="n"/>
      <c r="X122" s="15" t="n"/>
      <c r="Y122" s="25" t="inlineStr">
        <is>
          <t>MS-V2-113</t>
        </is>
      </c>
    </row>
    <row r="123" ht="150" customHeight="1">
      <c r="A123" s="12" t="inlineStr">
        <is>
          <t>MS-AUTH-032</t>
        </is>
      </c>
      <c r="B123" s="25" t="inlineStr">
        <is>
          <t>Storefront</t>
        </is>
      </c>
      <c r="C123" s="25" t="inlineStr">
        <is>
          <t>8. Sign-in &amp; registration</t>
        </is>
      </c>
      <c r="D123" s="25" t="inlineStr">
        <is>
          <t>Guest order lookup</t>
        </is>
      </c>
      <c r="E123" s="25" t="inlineStr">
        <is>
          <t>Guest order lookup gives the same refusal for a registered and an unregistered email, so it does not reveal which addresses have accounts.</t>
        </is>
      </c>
      <c r="F123" s="13" t="inlineStr">
        <is>
          <t>Critical</t>
        </is>
      </c>
      <c r="G123" s="25" t="inlineStr">
        <is>
          <t>Security</t>
        </is>
      </c>
      <c r="H123" s="25" t="inlineStr">
        <is>
          <t>Anonymous browser session. Seeded member exists on the environment under test (checked first by an API login).</t>
        </is>
      </c>
      <c r="I123" s="25" t="inlineStr">
        <is>
          <t>Registered email: AUTH_TEST_EMAIL. Unregistered email: invalid-login-e2e@example.com. Order number for both: AO-000000-E2E-NOPE.</t>
        </is>
      </c>
      <c r="J123" s="25" t="inlineStr">
        <is>
          <t xml:space="preserve">1. Confirm the seeded member credentials log in on this environment (API POST /sys/kr/auth/login); stop if they do not.
2. Open /kr/auth/login, switch to 비회원 mode, submit AUTH_TEST_EMAIL with AO-000000-E2E-NOPE, and note the error text.
3. Open /kr/auth/login again, switch to 비회원 mode, submit invalid-login-e2e@example.com with AO-000000-E2E-NOPE, and note the error text.
4. Compare the two messages.</t>
        </is>
      </c>
      <c r="K123" s="25" t="inlineStr">
        <is>
          <t>The premise check succeeds (otherwise the test fails naming the environment). Both lookups show an error within 20 s; the two messages are identical and both equal 존재하지 않는 주문입니다. Suite guard: no unexpected console errors or HTTP 4xx/5xx (expected auth failures allowed).</t>
        </is>
      </c>
      <c r="L123" s="13" t="inlineStr">
        <is>
          <t>Automated</t>
        </is>
      </c>
      <c r="M123" s="25" t="inlineStr">
        <is>
          <t>Production-safe</t>
        </is>
      </c>
      <c r="N123" s="25" t="inlineStr">
        <is>
          <t>AUTH_TEST_EMAIL/AUTH_TEST_PASSWORD</t>
        </is>
      </c>
      <c r="O123" s="25" t="inlineStr">
        <is>
          <t>tests/e2e/storefront/auth/guest-order-lookup.spec.ts</t>
        </is>
      </c>
      <c r="P123" s="25" t="inlineStr">
        <is>
          <t>MS-AUTH-032 the refusal does not reveal whether the email belongs to an account @credentialed</t>
        </is>
      </c>
      <c r="Q123" s="25" t="inlineStr">
        <is>
          <t>@auth @production @validation @credentialed</t>
        </is>
      </c>
      <c r="R123" s="13" t="n">
        <v>1</v>
      </c>
      <c r="S123" s="25" t="inlineStr">
        <is>
          <t>The skip needs both AUTH_TEST_EMAIL and AUTH_TEST_PASSWORD even though its message mentions only the email. The API login is only a premise check (it writes .auth/member.json); the browser page stays anonymous throughout. The captured message is whichever of the email or order-number errors shows first.</t>
        </is>
      </c>
      <c r="T123" s="14" t="inlineStr">
        <is>
          <t>Not Run</t>
        </is>
      </c>
      <c r="U123" s="15" t="n"/>
      <c r="V123" s="15" t="n"/>
      <c r="W123" s="15" t="n"/>
      <c r="X123" s="15" t="n"/>
      <c r="Y123" s="25" t="inlineStr">
        <is>
          <t>MS-V2-114</t>
        </is>
      </c>
    </row>
    <row r="124" ht="150" customHeight="1">
      <c r="A124" s="12" t="inlineStr">
        <is>
          <t>MS-ACC-001</t>
        </is>
      </c>
      <c r="B124" s="25" t="inlineStr">
        <is>
          <t>Storefront</t>
        </is>
      </c>
      <c r="C124" s="25" t="inlineStr">
        <is>
          <t>9. Account &amp; order history</t>
        </is>
      </c>
      <c r="D124" s="25" t="inlineStr">
        <is>
          <t>Order history</t>
        </is>
      </c>
      <c r="E124" s="25" t="inlineStr">
        <is>
          <t>Order history lists the member's orders, each card showing a distinct order number and an order date.</t>
        </is>
      </c>
      <c r="F124" s="13" t="inlineStr">
        <is>
          <t>Critical</t>
        </is>
      </c>
      <c r="G124" s="25" t="inlineStr">
        <is>
          <t>Smoke</t>
        </is>
      </c>
      <c r="H124" s="25" t="inlineStr">
        <is>
          <t>Seeded member signed in (session created through the API login, not the form). Member holds at least one order in 진행 중 or 이전 내역, otherwise the test skips.</t>
        </is>
      </c>
      <c r="I124" s="25" t="inlineStr">
        <is>
          <t>Member: AUTH_TEST_EMAIL / AUTH_TEST_PASSWORD. Order numbers match AO-... (dev servers add a suffix such as -dev).</t>
        </is>
      </c>
      <c r="J124" s="25" t="inlineStr">
        <is>
          <t xml:space="preserve">1. Sign in as the seeded member.
2. Open /kr/account/orders and confirm the 주문 현황 heading.
3. Wait for the list to load; if 진행 중 is empty, switch to 이전 내역.
4. Read the order number on every card.
5. Read the date on the first five cards.
6. Read the order count badge above the list.</t>
        </is>
      </c>
      <c r="K124" s="25" t="inlineStr">
        <is>
          <t>Every card shows an order number (AO-...), the number of order numbers equals the number of cards, and all order numbers are distinct. Each of the first 5 cards (or fewer) shows 주문일: YYYY년 M월 D일. The order count badge shows a number greater than 0. Suite guard: no unexpected console errors or HTTP 4xx/5xx.</t>
        </is>
      </c>
      <c r="L124" s="13" t="inlineStr">
        <is>
          <t>Automated</t>
        </is>
      </c>
      <c r="M124" s="25" t="inlineStr">
        <is>
          <t>Production-safe</t>
        </is>
      </c>
      <c r="N124" s="25" t="inlineStr">
        <is>
          <t>AUTH_TEST_EMAIL/AUTH_TEST_PASSWORD</t>
        </is>
      </c>
      <c r="O124" s="25" t="inlineStr">
        <is>
          <t>tests/e2e/storefront/account/order-history.spec.ts</t>
        </is>
      </c>
      <c r="P124" s="25" t="inlineStr">
        <is>
          <t>MS-ACC-001 order history lists the member's orders with a number and a date each @smoke</t>
        </is>
      </c>
      <c r="Q124" s="25" t="inlineStr">
        <is>
          <t>@regression @production @auth @credentialed @smoke</t>
        </is>
      </c>
      <c r="R124" s="13" t="n">
        <v>1</v>
      </c>
      <c r="S124" s="25" t="inlineStr">
        <is>
          <t>The badge is deliberately not compared with the card count: development-1 showed 57 against 61 cards (3 against 6 on 이전 내역); whether that is by design or undercounting is an open question for the storefront team. Which segment holds orders varies by environment (on 2026-08-31 production's member had all 12 orders in 이전 내역). Read-only.</t>
        </is>
      </c>
      <c r="T124" s="14" t="inlineStr">
        <is>
          <t>Not Run</t>
        </is>
      </c>
      <c r="U124" s="15" t="n"/>
      <c r="V124" s="15" t="n"/>
      <c r="W124" s="15" t="n"/>
      <c r="X124" s="15" t="n"/>
      <c r="Y124" s="25" t="inlineStr">
        <is>
          <t>MS-V2-107</t>
        </is>
      </c>
    </row>
    <row r="125" ht="150" customHeight="1">
      <c r="A125" s="12" t="inlineStr">
        <is>
          <t>MS-ACC-002</t>
        </is>
      </c>
      <c r="B125" s="25" t="inlineStr">
        <is>
          <t>Storefront</t>
        </is>
      </c>
      <c r="C125" s="25" t="inlineStr">
        <is>
          <t>9. Account &amp; order history</t>
        </is>
      </c>
      <c r="D125" s="25" t="inlineStr">
        <is>
          <t>Order history</t>
        </is>
      </c>
      <c r="E125" s="25" t="inlineStr">
        <is>
          <t>Selecting an order card opens that order's invoice in the detail pane instead of the placeholder.</t>
        </is>
      </c>
      <c r="F125" s="13" t="inlineStr">
        <is>
          <t>Critical</t>
        </is>
      </c>
      <c r="G125" s="25" t="inlineStr">
        <is>
          <t>Functional</t>
        </is>
      </c>
      <c r="H125" s="25" t="inlineStr">
        <is>
          <t>Seeded member signed in (API session). Member holds at least one order, otherwise the test skips.</t>
        </is>
      </c>
      <c r="I125" s="25" t="inlineStr">
        <is>
          <t>Member: AUTH_TEST_EMAIL / AUTH_TEST_PASSWORD. First card in whichever segment holds orders.</t>
        </is>
      </c>
      <c r="J125" s="25" t="inlineStr">
        <is>
          <t xml:space="preserve">1. Sign in as the seeded member and open /kr/account/orders (heading 주문 현황).
2. Wait for the list; switch to 이전 내역 if 진행 중 is empty.
3. Check the detail pane before selecting anything.
4. Note the order number on the first card and click the card.
5. Check the URL and the detail pane.</t>
        </is>
      </c>
      <c r="K125" s="25" t="inlineStr">
        <is>
          <t>Before selection the detail pane shows 주문을 선택해 주세요. After clicking, the URL becomes /kr/account/orders/&lt;numeric id&gt;. The detail pane contains the clicked card's order number, no longer shows 주문을 선택해 주세요, and contains the rows 상품 금액, 배송비 and 총계. Suite guard: no unexpected console errors or HTTP 4xx/5xx.</t>
        </is>
      </c>
      <c r="L125" s="13" t="inlineStr">
        <is>
          <t>Automated</t>
        </is>
      </c>
      <c r="M125" s="25" t="inlineStr">
        <is>
          <t>Production-safe</t>
        </is>
      </c>
      <c r="N125" s="25" t="inlineStr">
        <is>
          <t>AUTH_TEST_EMAIL/AUTH_TEST_PASSWORD</t>
        </is>
      </c>
      <c r="O125" s="25" t="inlineStr">
        <is>
          <t>tests/e2e/storefront/account/order-history.spec.ts</t>
        </is>
      </c>
      <c r="P125" s="25" t="inlineStr">
        <is>
          <t>MS-ACC-002 selecting an order opens that order, not a placeholder</t>
        </is>
      </c>
      <c r="Q125" s="25" t="inlineStr">
        <is>
          <t>@regression @production @auth @credentialed</t>
        </is>
      </c>
      <c r="R125" s="13" t="n">
        <v>1</v>
      </c>
      <c r="S125" s="25" t="inlineStr">
        <is>
          <t>Invoice arithmetic is intentionally not checked (revised orders show old and new totals plus an 추가 결제 금액 row). Read-only.</t>
        </is>
      </c>
      <c r="T125" s="14" t="inlineStr">
        <is>
          <t>Not Run</t>
        </is>
      </c>
      <c r="U125" s="15" t="n"/>
      <c r="V125" s="15" t="n"/>
      <c r="W125" s="15" t="n"/>
      <c r="X125" s="15" t="n"/>
      <c r="Y125" s="25" t="inlineStr">
        <is>
          <t>MS-V2-108</t>
        </is>
      </c>
    </row>
    <row r="126" ht="150" customHeight="1">
      <c r="A126" s="12" t="inlineStr">
        <is>
          <t>MS-ACC-003</t>
        </is>
      </c>
      <c r="B126" s="25" t="inlineStr">
        <is>
          <t>Storefront</t>
        </is>
      </c>
      <c r="C126" s="25" t="inlineStr">
        <is>
          <t>9. Account &amp; order history</t>
        </is>
      </c>
      <c r="D126" s="25" t="inlineStr">
        <is>
          <t>Order history</t>
        </is>
      </c>
      <c r="E126" s="25" t="inlineStr">
        <is>
          <t>The 진행 중 / 이전 내역 control switches between two non-overlapping order lists and reports its state through aria-pressed.</t>
        </is>
      </c>
      <c r="F126" s="13" t="inlineStr">
        <is>
          <t>High</t>
        </is>
      </c>
      <c r="G126" s="25" t="inlineStr">
        <is>
          <t>Functional</t>
        </is>
      </c>
      <c r="H126" s="25" t="inlineStr">
        <is>
          <t>Seeded member signed in (API session). Member holds at least one order in either segment, otherwise the test skips.</t>
        </is>
      </c>
      <c r="I126" s="25" t="inlineStr">
        <is>
          <t>Member: AUTH_TEST_EMAIL / AUTH_TEST_PASSWORD.</t>
        </is>
      </c>
      <c r="J126" s="25" t="inlineStr">
        <is>
          <t xml:space="preserve">1. Sign in as the seeded member and open /kr/account/orders.
2. Wait for the list (cards or empty state) and note that 진행 중 is selected.
3. Record the order numbers listed under 진행 중.
4. Click 이전 내역, wait for the list, record its order numbers.
5. Click 진행 중 again and wait for the list.</t>
        </is>
      </c>
      <c r="K126" s="25" t="inlineStr">
        <is>
          <t>On load 진행 중 has aria-pressed=true. After switching, 이전 내역 has aria-pressed=true and 진행 중 aria-pressed=false. No order number appears in both lists. After switching back, the 진행 중 list is identical (same numbers, same order) to the first read. Either list may be empty. Suite guard: no unexpected console errors or HTTP 4xx/5xx.</t>
        </is>
      </c>
      <c r="L126" s="13" t="inlineStr">
        <is>
          <t>Automated</t>
        </is>
      </c>
      <c r="M126" s="25" t="inlineStr">
        <is>
          <t>Production-safe</t>
        </is>
      </c>
      <c r="N126" s="25" t="inlineStr">
        <is>
          <t>AUTH_TEST_EMAIL/AUTH_TEST_PASSWORD</t>
        </is>
      </c>
      <c r="O126" s="25" t="inlineStr">
        <is>
          <t>tests/e2e/storefront/account/order-history.spec.ts</t>
        </is>
      </c>
      <c r="P126" s="25" t="inlineStr">
        <is>
          <t>MS-ACC-003 the 진행 중 / 이전 내역 control switches which orders are listed</t>
        </is>
      </c>
      <c r="Q126" s="25" t="inlineStr">
        <is>
          <t>@regression @production @auth @credentialed</t>
        </is>
      </c>
      <c r="R126" s="13" t="n">
        <v>1</v>
      </c>
      <c r="S126" s="25" t="inlineStr">
        <is>
          <t>The segment buttons can ignore early clicks before hydration; the automation retries the click until aria-pressed flips. Read-only.</t>
        </is>
      </c>
      <c r="T126" s="14" t="inlineStr">
        <is>
          <t>Not Run</t>
        </is>
      </c>
      <c r="U126" s="15" t="n"/>
      <c r="V126" s="15" t="n"/>
      <c r="W126" s="15" t="n"/>
      <c r="X126" s="15" t="n"/>
      <c r="Y126" s="25" t="inlineStr">
        <is>
          <t>MS-V2-109</t>
        </is>
      </c>
    </row>
    <row r="127" ht="150" customHeight="1">
      <c r="A127" s="12" t="inlineStr">
        <is>
          <t>MS-ACC-004</t>
        </is>
      </c>
      <c r="B127" s="25" t="inlineStr">
        <is>
          <t>Storefront</t>
        </is>
      </c>
      <c r="C127" s="25" t="inlineStr">
        <is>
          <t>9. Account &amp; order history</t>
        </is>
      </c>
      <c r="D127" s="25" t="inlineStr">
        <is>
          <t>Order history</t>
        </is>
      </c>
      <c r="E127" s="25" t="inlineStr">
        <is>
          <t>Searching order history for an order number narrows the list to that one order, and clearing the search restores the full list.</t>
        </is>
      </c>
      <c r="F127" s="13" t="inlineStr">
        <is>
          <t>High</t>
        </is>
      </c>
      <c r="G127" s="25" t="inlineStr">
        <is>
          <t>Functional</t>
        </is>
      </c>
      <c r="H127" s="25" t="inlineStr">
        <is>
          <t>Seeded member signed in (API session). Member holds at least two orders in one segment, otherwise the test skips.</t>
        </is>
      </c>
      <c r="I127" s="25" t="inlineStr">
        <is>
          <t>Member: AUTH_TEST_EMAIL / AUTH_TEST_PASSWORD. Search term: the first card's order number (e.g. AO-2608260005-dev on dev).</t>
        </is>
      </c>
      <c r="J127" s="25" t="inlineStr">
        <is>
          <t xml:space="preserve">1. Sign in as the seeded member and open /kr/account/orders.
2. Wait for the list (switch to 이전 내역 if 진행 중 is empty) and note the card count and the first card's order number.
3. Type that order number into the search box and press Enter.
4. Check the list.
5. Clear the search box and press Enter.</t>
        </is>
      </c>
      <c r="K127" s="25" t="inlineStr">
        <is>
          <t>Within 20 s of searching, exactly 1 card is listed and it contains the searched order number. Within 20 s of clearing, the card count returns to the original count. Suite guard: no unexpected console errors or HTTP 4xx/5xx.</t>
        </is>
      </c>
      <c r="L127" s="13" t="inlineStr">
        <is>
          <t>Automated</t>
        </is>
      </c>
      <c r="M127" s="25" t="inlineStr">
        <is>
          <t>Production-safe</t>
        </is>
      </c>
      <c r="N127" s="25" t="inlineStr">
        <is>
          <t>AUTH_TEST_EMAIL/AUTH_TEST_PASSWORD</t>
        </is>
      </c>
      <c r="O127" s="25" t="inlineStr">
        <is>
          <t>tests/e2e/storefront/account/order-history.spec.ts</t>
        </is>
      </c>
      <c r="P127" s="25" t="inlineStr">
        <is>
          <t>MS-ACC-004 order search narrows the list to the order that was searched for</t>
        </is>
      </c>
      <c r="Q127" s="25" t="inlineStr">
        <is>
          <t>@regression @production @auth @credentialed</t>
        </is>
      </c>
      <c r="R127" s="13" t="n">
        <v>1</v>
      </c>
      <c r="S127" s="25" t="inlineStr">
        <is>
          <t>The search filters only on Enter, not while typing (verified development-1: 61 cards stayed 61 until Enter). Read-only.</t>
        </is>
      </c>
      <c r="T127" s="14" t="inlineStr">
        <is>
          <t>Not Run</t>
        </is>
      </c>
      <c r="U127" s="15" t="n"/>
      <c r="V127" s="15" t="n"/>
      <c r="W127" s="15" t="n"/>
      <c r="X127" s="15" t="n"/>
      <c r="Y127" s="25" t="inlineStr">
        <is>
          <t>MS-V2-110</t>
        </is>
      </c>
    </row>
    <row r="128" ht="150" customHeight="1">
      <c r="A128" s="12" t="inlineStr">
        <is>
          <t>MS-ACC-005</t>
        </is>
      </c>
      <c r="B128" s="25" t="inlineStr">
        <is>
          <t>Storefront</t>
        </is>
      </c>
      <c r="C128" s="25" t="inlineStr">
        <is>
          <t>9. Account &amp; order history</t>
        </is>
      </c>
      <c r="D128" s="25" t="inlineStr">
        <is>
          <t>Order history</t>
        </is>
      </c>
      <c r="E128" s="25" t="inlineStr">
        <is>
          <t>The order history page shows its header, search box, date picker, filters button and both segment buttons.</t>
        </is>
      </c>
      <c r="F128" s="13" t="inlineStr">
        <is>
          <t>Medium</t>
        </is>
      </c>
      <c r="G128" s="25" t="inlineStr">
        <is>
          <t>UI</t>
        </is>
      </c>
      <c r="H128" s="25" t="inlineStr">
        <is>
          <t>Seeded member signed in (API session). No orders required.</t>
        </is>
      </c>
      <c r="I128" s="25" t="inlineStr">
        <is>
          <t>Member: AUTH_TEST_EMAIL / AUTH_TEST_PASSWORD.</t>
        </is>
      </c>
      <c r="J128" s="25" t="inlineStr">
        <is>
          <t xml:space="preserve">1. Sign in as the seeded member.
2. Open /kr/account/orders and confirm the 주문 현황 heading.
3. Check the page header, search box, date button, filters button and the segment buttons.</t>
        </is>
      </c>
      <c r="K128" s="25" t="inlineStr">
        <is>
          <t>Visible: the orders header (account-orders-header), the search input, the select-date button, the filters button, and buttons named exactly 진행 중 and 이전 내역. Suite guard: no unexpected console errors or HTTP 4xx/5xx.</t>
        </is>
      </c>
      <c r="L128" s="13" t="inlineStr">
        <is>
          <t>Automated</t>
        </is>
      </c>
      <c r="M128" s="25" t="inlineStr">
        <is>
          <t>Production-safe</t>
        </is>
      </c>
      <c r="N128" s="25" t="inlineStr">
        <is>
          <t>AUTH_TEST_EMAIL/AUTH_TEST_PASSWORD</t>
        </is>
      </c>
      <c r="O128" s="25" t="inlineStr">
        <is>
          <t>tests/e2e/storefront/account/order-history.spec.ts</t>
        </is>
      </c>
      <c r="P128" s="25" t="inlineStr">
        <is>
          <t>MS-ACC-005 order history tools are present and named</t>
        </is>
      </c>
      <c r="Q128" s="25" t="inlineStr">
        <is>
          <t>@regression @production @auth @credentialed</t>
        </is>
      </c>
      <c r="R128" s="13" t="n">
        <v>1</v>
      </c>
      <c r="S128" s="25" t="inlineStr">
        <is>
          <t>Presence only; none of the controls is operated. Read-only.</t>
        </is>
      </c>
      <c r="T128" s="14" t="inlineStr">
        <is>
          <t>Not Run</t>
        </is>
      </c>
      <c r="U128" s="15" t="n"/>
      <c r="V128" s="15" t="n"/>
      <c r="W128" s="15" t="n"/>
      <c r="X128" s="15" t="n"/>
      <c r="Y128" s="25" t="inlineStr">
        <is>
          <t>MS-V2-111</t>
        </is>
      </c>
    </row>
    <row r="129" ht="150" customHeight="1">
      <c r="A129" s="12" t="inlineStr">
        <is>
          <t>MS-INQ-001</t>
        </is>
      </c>
      <c r="B129" s="25" t="inlineStr">
        <is>
          <t>Storefront</t>
        </is>
      </c>
      <c r="C129" s="25" t="inlineStr">
        <is>
          <t>10. Inquiry &amp; validation</t>
        </is>
      </c>
      <c r="D129" s="25" t="inlineStr">
        <is>
          <t>Inquiry validation</t>
        </is>
      </c>
      <c r="E129" s="25" t="inlineStr">
        <is>
          <t>The home-page inquiry form is present with name, email, message and attachment fields, and its email field is a plain text input.</t>
        </is>
      </c>
      <c r="F129" s="13" t="inlineStr">
        <is>
          <t>Critical</t>
        </is>
      </c>
      <c r="G129" s="25" t="inlineStr">
        <is>
          <t>Validation</t>
        </is>
      </c>
      <c r="H129" s="25" t="inlineStr">
        <is>
          <t>Anonymous session; home page /kr loaded (beforeEach).</t>
        </is>
      </c>
      <c r="I129" s="25" t="inlineStr">
        <is>
          <t>Placeholders: '성함을 입력해 주세요.', '이메일 주소를 입력해 주세요.', '여기에 문의하실 내용을 입력해 주세요.'</t>
        </is>
      </c>
      <c r="J129" s="25" t="inlineStr">
        <is>
          <t xml:space="preserve">1. Open the home page /kr.
2. Verify the inquiry button 제작 문의하기 (or 1:1문의하기) is visible.
3. Locate the inquiry form fields: name, email, message, and file attachment.
4. Inspect the email field's input type.</t>
        </is>
      </c>
      <c r="K129" s="25" t="inlineStr">
        <is>
          <t>Button '제작 문의하기' or '1:1문의하기' is visible. Exactly one field each with placeholder '성함을 입력해 주세요.', '이메일 주소를 입력해 주세요.' and '여기에 문의하실 내용을 입력해 주세요.' exists, plus exactly one file input. The email field has type='text'. No unexpected console/HTTP errors (guard fixture; expected auth failures tolerated).</t>
        </is>
      </c>
      <c r="L129" s="13" t="inlineStr">
        <is>
          <t>Partial</t>
        </is>
      </c>
      <c r="M129" s="25" t="inlineStr">
        <is>
          <t>Production-safe</t>
        </is>
      </c>
      <c r="N129" s="25" t="inlineStr">
        <is>
          <t>-</t>
        </is>
      </c>
      <c r="O129" s="25" t="inlineStr">
        <is>
          <t>tests/e2e/storefront/inquiry/inquiry-validation.spec.ts</t>
        </is>
      </c>
      <c r="P129" s="25" t="inlineStr">
        <is>
          <t>MS-INQ-001 inquiry form validates blank and invalid email submissions</t>
        </is>
      </c>
      <c r="Q129" s="25" t="inlineStr">
        <is>
          <t>@validation @production</t>
        </is>
      </c>
      <c r="R129" s="13" t="n">
        <v>1</v>
      </c>
      <c r="S129" s="25" t="inlineStr">
        <is>
          <t xml:space="preserve">MANUAL PART: Automation only checks that the inquiry fields exist and that email is a plain text input. It never submits, so required-field and invalid-email messages must be checked by hand.
MAJOR GAP: despite the title and the POM method names (submitBlankAndExpectValidation, fillInvalidEmailAndExpectStillOpen), the code never clicks 문의하기, never types an invalid email, and asserts no validation message. It only checks that the fields exist in the DOM (count, not visibility) and that the email input is type='text' (so the browser applies no native email check). test-case.md expects required-field errors for inquiry type/name/email/message and an invalid-email error; a manual tester must perform those checks. Do not submit a valid inquiry on production.</t>
        </is>
      </c>
      <c r="T129" s="14" t="inlineStr">
        <is>
          <t>Not Run</t>
        </is>
      </c>
      <c r="U129" s="15" t="n"/>
      <c r="V129" s="15" t="n"/>
      <c r="W129" s="15" t="n"/>
      <c r="X129" s="15" t="n"/>
      <c r="Y129" s="25" t="inlineStr">
        <is>
          <t>MS-V2-017</t>
        </is>
      </c>
    </row>
    <row r="130" ht="150" customHeight="1">
      <c r="A130" s="12" t="inlineStr">
        <is>
          <t>MS-INQ-002</t>
        </is>
      </c>
      <c r="B130" s="25" t="inlineStr">
        <is>
          <t>Storefront</t>
        </is>
      </c>
      <c r="C130" s="25" t="inlineStr">
        <is>
          <t>10. Inquiry &amp; validation</t>
        </is>
      </c>
      <c r="D130" s="25" t="inlineStr">
        <is>
          <t>Inquiry validation</t>
        </is>
      </c>
      <c r="E130" s="25" t="inlineStr">
        <is>
          <t>The inquiry form states the supported attachment formats and the 50MB limit.</t>
        </is>
      </c>
      <c r="F130" s="13" t="inlineStr">
        <is>
          <t>High</t>
        </is>
      </c>
      <c r="G130" s="25" t="inlineStr">
        <is>
          <t>Validation</t>
        </is>
      </c>
      <c r="H130" s="25" t="inlineStr">
        <is>
          <t>Anonymous session; home page /kr loaded (beforeEach).</t>
        </is>
      </c>
      <c r="I130" s="25" t="inlineStr">
        <is>
          <t>Formats in order: .eps .ai .psd .pdf .tif .tiff .zip .png .jpg; limit 50MB</t>
        </is>
      </c>
      <c r="J130" s="25" t="inlineStr">
        <is>
          <t xml:space="preserve">1. Open the home page /kr.
2. Verify the inquiry button 제작 문의하기 (or 1:1문의하기) is visible and the form fields exist.
3. Read the attachment guidance text near the file field.</t>
        </is>
      </c>
      <c r="K130" s="25" t="inlineStr">
        <is>
          <t>Page text lists .eps, .ai, .psd, .pdf, .tif, .tiff, .zip, .png, .jpg in that order (case-insensitive) and contains '50MB'. Form fields name/email/message and one file input exist. No unexpected console/HTTP errors (guard fixture).</t>
        </is>
      </c>
      <c r="L130" s="13" t="inlineStr">
        <is>
          <t>Partial</t>
        </is>
      </c>
      <c r="M130" s="25" t="inlineStr">
        <is>
          <t>Production-safe</t>
        </is>
      </c>
      <c r="N130" s="25" t="inlineStr">
        <is>
          <t>-</t>
        </is>
      </c>
      <c r="O130" s="25" t="inlineStr">
        <is>
          <t>tests/e2e/storefront/inquiry/inquiry-validation.spec.ts</t>
        </is>
      </c>
      <c r="P130" s="25" t="inlineStr">
        <is>
          <t>MS-INQ-002 inquiry form documents supported attachment constraints</t>
        </is>
      </c>
      <c r="Q130" s="25" t="inlineStr">
        <is>
          <t>@validation @production</t>
        </is>
      </c>
      <c r="R130" s="13" t="n">
        <v>1</v>
      </c>
      <c r="S130" s="25" t="inlineStr">
        <is>
          <t xml:space="preserve">MANUAL PART: Automation checks the attachment guidance text only (types, 50MB). No file is uploaded: upload valid/invalid/oversized files by hand.
Only the guidance text is verified. No file is uploaded: test-case.md steps for attaching each allowed type, more than 4 files, an unsupported type and a set over 50MB are not automated.</t>
        </is>
      </c>
      <c r="T130" s="14" t="inlineStr">
        <is>
          <t>Not Run</t>
        </is>
      </c>
      <c r="U130" s="15" t="n"/>
      <c r="V130" s="15" t="n"/>
      <c r="W130" s="15" t="n"/>
      <c r="X130" s="15" t="n"/>
      <c r="Y130" s="25" t="inlineStr">
        <is>
          <t>MS-V2-018</t>
        </is>
      </c>
    </row>
    <row r="131" ht="150" customHeight="1">
      <c r="A131" s="12" t="inlineStr">
        <is>
          <t>MS-INQ-003</t>
        </is>
      </c>
      <c r="B131" s="25" t="inlineStr">
        <is>
          <t>Storefront</t>
        </is>
      </c>
      <c r="C131" s="25" t="inlineStr">
        <is>
          <t>10. Inquiry &amp; validation</t>
        </is>
      </c>
      <c r="D131" s="25" t="inlineStr">
        <is>
          <t>Inquiry validation</t>
        </is>
      </c>
      <c r="E131" s="25" t="inlineStr">
        <is>
          <t>The Kakao Channel and Naver TalkTalk inquiry links point to pf.kakao.com and talk.naver.com.</t>
        </is>
      </c>
      <c r="F131" s="13" t="inlineStr">
        <is>
          <t>Medium</t>
        </is>
      </c>
      <c r="G131" s="25" t="inlineStr">
        <is>
          <t>Navigation</t>
        </is>
      </c>
      <c r="H131" s="25" t="inlineStr">
        <is>
          <t>Anonymous session; home page /kr loaded (beforeEach).</t>
        </is>
      </c>
      <c r="I131" s="25" t="inlineStr">
        <is>
          <t>Links '카카오채널로 문의하기' and '네이버 톡톡 으로 문의하기'</t>
        </is>
      </c>
      <c r="J131" s="25" t="inlineStr">
        <is>
          <t xml:space="preserve">1. Open the home page /kr.
2. Find the link 카카오채널로 문의하기 and inspect its destination (href).
3. Find the link 네이버 톡톡 으로 문의하기 and inspect its destination (href).</t>
        </is>
      </c>
      <c r="K131" s="25" t="inlineStr">
        <is>
          <t>The '카카오채널로 문의하기' link href contains 'pf.kakao.com'. The '네이버 톡톡 으로 문의하기' link href contains 'talk.naver.com'. No unexpected console/HTTP errors (guard fixture).</t>
        </is>
      </c>
      <c r="L131" s="13" t="inlineStr">
        <is>
          <t>Automated</t>
        </is>
      </c>
      <c r="M131" s="25" t="inlineStr">
        <is>
          <t>Production-safe</t>
        </is>
      </c>
      <c r="N131" s="25" t="inlineStr">
        <is>
          <t>-</t>
        </is>
      </c>
      <c r="O131" s="25" t="inlineStr">
        <is>
          <t>tests/e2e/storefront/inquiry/inquiry-validation.spec.ts</t>
        </is>
      </c>
      <c r="P131" s="25" t="inlineStr">
        <is>
          <t>MS-INQ-003 external inquiry links point to Kakao and Naver destinations</t>
        </is>
      </c>
      <c r="Q131" s="25" t="inlineStr">
        <is>
          <t>@validation @production</t>
        </is>
      </c>
      <c r="R131" s="13" t="n">
        <v>1</v>
      </c>
      <c r="S131" s="25" t="inlineStr">
        <is>
          <t>The links are not clicked and no popup is opened; only the href is checked (test-case.md expects a new page on each host). Tags differ from test-case.md (@regression there, @validation in code).</t>
        </is>
      </c>
      <c r="T131" s="14" t="inlineStr">
        <is>
          <t>Not Run</t>
        </is>
      </c>
      <c r="U131" s="15" t="n"/>
      <c r="V131" s="15" t="n"/>
      <c r="W131" s="15" t="n"/>
      <c r="X131" s="15" t="n"/>
      <c r="Y131" s="25" t="inlineStr">
        <is>
          <t>MS-V2-019</t>
        </is>
      </c>
    </row>
    <row r="132" ht="150" customHeight="1">
      <c r="A132" s="12" t="inlineStr">
        <is>
          <t>MS-API-001</t>
        </is>
      </c>
      <c r="B132" s="25" t="inlineStr">
        <is>
          <t>Storefront</t>
        </is>
      </c>
      <c r="C132" s="25" t="inlineStr">
        <is>
          <t>11. Public API</t>
        </is>
      </c>
      <c r="D132" s="25" t="inlineStr">
        <is>
          <t>Public API</t>
        </is>
      </c>
      <c r="E132" s="25" t="inlineStr">
        <is>
          <t>The public navigation categories API returns non-empty JSON that includes the storefront category slugs.</t>
        </is>
      </c>
      <c r="F132" s="13" t="inlineStr">
        <is>
          <t>Critical</t>
        </is>
      </c>
      <c r="G132" s="25" t="inlineStr">
        <is>
          <t>API</t>
        </is>
      </c>
      <c r="H132" s="25" t="inlineStr">
        <is>
          <t>Anonymous API request context (no cookies or auth).</t>
        </is>
      </c>
      <c r="I132" s="25" t="inlineStr">
        <is>
          <t>GET {API_BASE_URL}/sys/kr/navigation/categories; default API_BASE_URL https://api.musticker.com/index.php (derived from BASE_URL)</t>
        </is>
      </c>
      <c r="J132" s="25" t="inlineStr">
        <is>
          <t xml:space="preserve">1. Send GET {API_BASE_URL}/sys/kr/navigation/categories without credentials.
2. Check the HTTP status.
3. Check the Content-Type header.
4. Inspect the JSON body.</t>
        </is>
      </c>
      <c r="K132" s="25" t="inlineStr">
        <is>
          <t>Status is 2xx. Content-Type contains 'application/json'. Body is a non-empty array or an object with at least one key. The serialized body contains 'stickers', 'roll-stickers' or 'sheet-stickers'.</t>
        </is>
      </c>
      <c r="L132" s="13" t="inlineStr">
        <is>
          <t>Automated</t>
        </is>
      </c>
      <c r="M132" s="25" t="inlineStr">
        <is>
          <t>Production-safe</t>
        </is>
      </c>
      <c r="N132" s="25" t="inlineStr">
        <is>
          <t>-</t>
        </is>
      </c>
      <c r="O132" s="25" t="inlineStr">
        <is>
          <t>tests/e2e/storefront/api/public-api.spec.ts</t>
        </is>
      </c>
      <c r="P132" s="25" t="inlineStr">
        <is>
          <t>MS-API-001 navigation categories API returns public category data</t>
        </is>
      </c>
      <c r="Q132" s="25" t="inlineStr">
        <is>
          <t>@api @smoke @production</t>
        </is>
      </c>
      <c r="R132" s="13" t="n">
        <v>1</v>
      </c>
      <c r="S132" s="25" t="inlineStr">
        <is>
          <t>Uses plain Playwright request (no browser, no console/network guard). The slug check passes if any one of the three slugs appears.</t>
        </is>
      </c>
      <c r="T132" s="14" t="inlineStr">
        <is>
          <t>Not Run</t>
        </is>
      </c>
      <c r="U132" s="15" t="n"/>
      <c r="V132" s="15" t="n"/>
      <c r="W132" s="15" t="n"/>
      <c r="X132" s="15" t="n"/>
      <c r="Y132" s="25" t="inlineStr">
        <is>
          <t>MS-V2-036</t>
        </is>
      </c>
    </row>
    <row r="133" ht="150" customHeight="1">
      <c r="A133" s="12" t="inlineStr">
        <is>
          <t>MS-API-002</t>
        </is>
      </c>
      <c r="B133" s="25" t="inlineStr">
        <is>
          <t>Storefront</t>
        </is>
      </c>
      <c r="C133" s="25" t="inlineStr">
        <is>
          <t>11. Public API</t>
        </is>
      </c>
      <c r="D133" s="25" t="inlineStr">
        <is>
          <t>Public API</t>
        </is>
      </c>
      <c r="E133" s="25" t="inlineStr">
        <is>
          <t>The public inquiry types API returns non-empty JSON without login.</t>
        </is>
      </c>
      <c r="F133" s="13" t="inlineStr">
        <is>
          <t>High</t>
        </is>
      </c>
      <c r="G133" s="25" t="inlineStr">
        <is>
          <t>API</t>
        </is>
      </c>
      <c r="H133" s="25" t="inlineStr">
        <is>
          <t>Anonymous API request context.</t>
        </is>
      </c>
      <c r="I133" s="25" t="inlineStr">
        <is>
          <t>GET {API_BASE_URL}/sys/kr/inquiry/types</t>
        </is>
      </c>
      <c r="J133" s="25" t="inlineStr">
        <is>
          <t xml:space="preserve">1. Send GET {API_BASE_URL}/sys/kr/inquiry/types without credentials.
2. Check the HTTP status.
3. Check the Content-Type header.
4. Inspect the JSON body.</t>
        </is>
      </c>
      <c r="K133" s="25" t="inlineStr">
        <is>
          <t>Status is 2xx. Content-Type contains 'application/json'. Body is a non-empty array or an object with at least one key.</t>
        </is>
      </c>
      <c r="L133" s="13" t="inlineStr">
        <is>
          <t>Automated</t>
        </is>
      </c>
      <c r="M133" s="25" t="inlineStr">
        <is>
          <t>Production-safe</t>
        </is>
      </c>
      <c r="N133" s="25" t="inlineStr">
        <is>
          <t>-</t>
        </is>
      </c>
      <c r="O133" s="25" t="inlineStr">
        <is>
          <t>tests/e2e/storefront/api/public-api.spec.ts</t>
        </is>
      </c>
      <c r="P133" s="25" t="inlineStr">
        <is>
          <t>MS-API-002 inquiry types API returns selectable inquiry metadata</t>
        </is>
      </c>
      <c r="Q133" s="25" t="inlineStr">
        <is>
          <t>@api @smoke @production</t>
        </is>
      </c>
      <c r="R133" s="13" t="n">
        <v>1</v>
      </c>
      <c r="S133" s="25" t="inlineStr">
        <is>
          <t>Schema-light: no field names or inquiry type values are asserted.</t>
        </is>
      </c>
      <c r="T133" s="14" t="inlineStr">
        <is>
          <t>Not Run</t>
        </is>
      </c>
      <c r="U133" s="15" t="n"/>
      <c r="V133" s="15" t="n"/>
      <c r="W133" s="15" t="n"/>
      <c r="X133" s="15" t="n"/>
      <c r="Y133" s="25" t="inlineStr">
        <is>
          <t>MS-V2-037</t>
        </is>
      </c>
    </row>
    <row r="134" ht="150" customHeight="1">
      <c r="A134" s="12" t="inlineStr">
        <is>
          <t>MS-API-003</t>
        </is>
      </c>
      <c r="B134" s="25" t="inlineStr">
        <is>
          <t>Storefront</t>
        </is>
      </c>
      <c r="C134" s="25" t="inlineStr">
        <is>
          <t>11. Public API</t>
        </is>
      </c>
      <c r="D134" s="25" t="inlineStr">
        <is>
          <t>Public API</t>
        </is>
      </c>
      <c r="E134" s="25" t="inlineStr">
        <is>
          <t>The user session API rejects an anonymous caller with 401 and does not leak server error details.</t>
        </is>
      </c>
      <c r="F134" s="13" t="inlineStr">
        <is>
          <t>Critical</t>
        </is>
      </c>
      <c r="G134" s="25" t="inlineStr">
        <is>
          <t>API</t>
        </is>
      </c>
      <c r="H134" s="25" t="inlineStr">
        <is>
          <t>Anonymous API request context (no session cookie).</t>
        </is>
      </c>
      <c r="I134" s="25" t="inlineStr">
        <is>
          <t>GET {API_BASE_URL}/sys/kr/user/me</t>
        </is>
      </c>
      <c r="J134" s="25" t="inlineStr">
        <is>
          <t xml:space="preserve">1. Send GET {API_BASE_URL}/sys/kr/user/me without credentials.
2. Check the HTTP status.
3. Read the response body.</t>
        </is>
      </c>
      <c r="K134" s="25" t="inlineStr">
        <is>
          <t>Status is exactly 401. Response body does not contain 'stack', 'trace', 'exception' or 'sql' (case-insensitive).</t>
        </is>
      </c>
      <c r="L134" s="13" t="inlineStr">
        <is>
          <t>Automated</t>
        </is>
      </c>
      <c r="M134" s="25" t="inlineStr">
        <is>
          <t>Production-safe</t>
        </is>
      </c>
      <c r="N134" s="25" t="inlineStr">
        <is>
          <t>-</t>
        </is>
      </c>
      <c r="O134" s="25" t="inlineStr">
        <is>
          <t>tests/e2e/storefront/api/public-api.spec.ts</t>
        </is>
      </c>
      <c r="P134" s="25" t="inlineStr">
        <is>
          <t>MS-API-003 anonymous user session API rejects unauthenticated users safely</t>
        </is>
      </c>
      <c r="Q134" s="25" t="inlineStr">
        <is>
          <t>@api @smoke @production</t>
        </is>
      </c>
      <c r="R134" s="13" t="n">
        <v>1</v>
      </c>
      <c r="S134" s="25" t="inlineStr">
        <is>
          <t>Negative/security-flavoured API check. The authenticated 200 case is not covered here.</t>
        </is>
      </c>
      <c r="T134" s="14" t="inlineStr">
        <is>
          <t>Not Run</t>
        </is>
      </c>
      <c r="U134" s="15" t="n"/>
      <c r="V134" s="15" t="n"/>
      <c r="W134" s="15" t="n"/>
      <c r="X134" s="15" t="n"/>
      <c r="Y134" s="25" t="inlineStr">
        <is>
          <t>MS-V2-038</t>
        </is>
      </c>
    </row>
    <row r="135" ht="150" customHeight="1">
      <c r="A135" s="12" t="inlineStr">
        <is>
          <t>MS-UX-001</t>
        </is>
      </c>
      <c r="B135" s="25" t="inlineStr">
        <is>
          <t>Storefront</t>
        </is>
      </c>
      <c r="C135" s="25" t="inlineStr">
        <is>
          <t>12. Accessibility, visual &amp; errors</t>
        </is>
      </c>
      <c r="D135" s="25" t="inlineStr">
        <is>
          <t>Accessibility</t>
        </is>
      </c>
      <c r="E135" s="25" t="inlineStr">
        <is>
          <t>Core header controls and CTAs are visible and named, Tab moves focus to a visible element, and the search dialog closes with Escape.</t>
        </is>
      </c>
      <c r="F135" s="13" t="inlineStr">
        <is>
          <t>High</t>
        </is>
      </c>
      <c r="G135" s="25" t="inlineStr">
        <is>
          <t>Accessibility</t>
        </is>
      </c>
      <c r="H135" s="25" t="inlineStr">
        <is>
          <t>Anonymous session.</t>
        </is>
      </c>
      <c r="I135" s="25" t="inlineStr">
        <is>
          <t>Link 스티커 (exact); button 빠른 주문</t>
        </is>
      </c>
      <c r="J135" s="25" t="inlineStr">
        <is>
          <t xml:space="preserve">1. Open the home page /kr.
2. Check the header search, cart and account buttons, the 스티커 link and the 빠른 주문 button are visible.
3. Press Tab once and check that the focused element is visible.
4. Click the header search button and confirm the '상품 검색' dialog opens.
5. Press Escape.</t>
        </is>
      </c>
      <c r="K135" s="25" t="inlineStr">
        <is>
          <t>Search, cart and account header buttons (test ids app-header-search-button, app-header-cart-button, app-header-account-toggle-button), link '스티커' and button '빠른 주문' are visible. After one Tab the focused element is visible. The '상품 검색' dialog opens with the input focused and is hidden after Escape. No unexpected console/HTTP errors (guard fixture).</t>
        </is>
      </c>
      <c r="L135" s="13" t="inlineStr">
        <is>
          <t>Automated</t>
        </is>
      </c>
      <c r="M135" s="25" t="inlineStr">
        <is>
          <t>Production-safe</t>
        </is>
      </c>
      <c r="N135" s="25" t="inlineStr">
        <is>
          <t>-</t>
        </is>
      </c>
      <c r="O135" s="25" t="inlineStr">
        <is>
          <t>tests/e2e/storefront/ux/accessibility.spec.ts</t>
        </is>
      </c>
      <c r="P135" s="25" t="inlineStr">
        <is>
          <t>MS-UX-001 core controls are named and keyboard reachable</t>
        </is>
      </c>
      <c r="Q135" s="25" t="inlineStr">
        <is>
          <t>@regression @production</t>
        </is>
      </c>
      <c r="R135" s="13" t="n">
        <v>1</v>
      </c>
      <c r="S135" s="25" t="inlineStr">
        <is>
          <t>Only one Tab press; focus is not checked to reach each control, and search is opened by mouse click, not Enter (test-case.md expects keyboard tabbing through all controls and Enter to open search). The header buttons are found by test id, so their accessible names are not verified here. The axe scan MS-UX-004 is the broader accessibility check.</t>
        </is>
      </c>
      <c r="T135" s="14" t="inlineStr">
        <is>
          <t>Not Run</t>
        </is>
      </c>
      <c r="U135" s="15" t="n"/>
      <c r="V135" s="15" t="n"/>
      <c r="W135" s="15" t="n"/>
      <c r="X135" s="15" t="n"/>
      <c r="Y135" s="25" t="inlineStr">
        <is>
          <t>MS-V2-023</t>
        </is>
      </c>
    </row>
    <row r="136" ht="150" customHeight="1">
      <c r="A136" s="12" t="inlineStr">
        <is>
          <t>MS-UX-002</t>
        </is>
      </c>
      <c r="B136" s="25" t="inlineStr">
        <is>
          <t>Storefront</t>
        </is>
      </c>
      <c r="C136" s="25" t="inlineStr">
        <is>
          <t>12. Accessibility, visual &amp; errors</t>
        </is>
      </c>
      <c r="D136" s="25" t="inlineStr">
        <is>
          <t>Visual</t>
        </is>
      </c>
      <c r="E136" s="25" t="inlineStr">
        <is>
          <t>Full-page screenshots of home, the three category pages, the die-cut sticker product and FAQ match approved baselines.</t>
        </is>
      </c>
      <c r="F136" s="13" t="inlineStr">
        <is>
          <t>Medium</t>
        </is>
      </c>
      <c r="G136" s="25" t="inlineStr">
        <is>
          <t>Visual</t>
        </is>
      </c>
      <c r="H136" s="25" t="inlineStr">
        <is>
          <t>Anonymous session; approved baseline images exist for the browser/OS (committed: chromium-desktop on linux and win32).</t>
        </is>
      </c>
      <c r="I136" s="25" t="inlineStr">
        <is>
          <t>Pages: home (/kr), stickers (/kr/stickers), roll-stickers (/kr/roll-stickers), sheet-stickers (/kr/sheet-stickers), die-cut-sticker (/kr/stickers/die-cut-sticker), faq (/kr/faq); baselines storefront-&lt;name&gt;.png; maxDiffPixelRatio 0.02</t>
        </is>
      </c>
      <c r="J136" s="25" t="inlineStr">
        <is>
          <t xml:space="preserve">1. Open the page under test.
2. Wait up to 10s for the H1, scroll through the whole page to trigger lazy content, and return to the top.
3. Wait for review sections to load cards, fonts to be ready and all images to finish loading.
4. Hide the announcement notice bar and floating Kakao/Naver buttons, and mask the review sections.
5. Take a full-page screenshot with animations disabled and compare it to the baseline.</t>
        </is>
      </c>
      <c r="K136" s="25" t="inlineStr">
        <is>
          <t>The full-page screenshot matches storefront-&lt;name&gt;.png with at most 2% of pixels different. Review sections (home-reviews-section, product-category-reviews-section) are masked; announcement-notice-bar is removed and floating-button is hidden. No unexpected console/HTTP errors (guard fixture).</t>
        </is>
      </c>
      <c r="L136" s="13" t="inlineStr">
        <is>
          <t>Automated</t>
        </is>
      </c>
      <c r="M136" s="25" t="inlineStr">
        <is>
          <t>Any</t>
        </is>
      </c>
      <c r="N136" s="25" t="inlineStr">
        <is>
          <t>RUN_VISUAL_E2E=true (skipped otherwise), e.g. npm run test:visual</t>
        </is>
      </c>
      <c r="O136" s="25" t="inlineStr">
        <is>
          <t>tests/e2e/storefront/ux/visual.spec.ts</t>
        </is>
      </c>
      <c r="P136" s="25" t="inlineStr">
        <is>
          <t>MS-UX-002 home visual snapshot</t>
        </is>
      </c>
      <c r="Q136" s="25" t="inlineStr">
        <is>
          <t>@visual @production</t>
        </is>
      </c>
      <c r="R136" s="13" t="n">
        <v>6</v>
      </c>
      <c r="S136" s="25" t="inlineStr">
        <is>
          <t>Read-only, but excluded from every test:prod:* and test:ci script by --grep-invert @visual; run with npm run test:visual (update with test:visual:update). test-case.md also lists an inquiry drawer snapshot, which is not implemented. Baselines exist only for chromium-desktop (linux, win32); other browsers need new baselines. Layout around masked reviews still counts.</t>
        </is>
      </c>
      <c r="T136" s="14" t="inlineStr">
        <is>
          <t>Not Run</t>
        </is>
      </c>
      <c r="U136" s="15" t="n"/>
      <c r="V136" s="15" t="n"/>
      <c r="W136" s="15" t="n"/>
      <c r="X136" s="15" t="n"/>
      <c r="Y136" s="25" t="inlineStr">
        <is>
          <t>MS-V2-024</t>
        </is>
      </c>
    </row>
    <row r="137" ht="150" customHeight="1">
      <c r="A137" s="12" t="inlineStr">
        <is>
          <t>MS-UX-003</t>
        </is>
      </c>
      <c r="B137" s="25" t="inlineStr">
        <is>
          <t>Storefront</t>
        </is>
      </c>
      <c r="C137" s="25" t="inlineStr">
        <is>
          <t>12. Accessibility, visual &amp; errors</t>
        </is>
      </c>
      <c r="D137" s="25" t="inlineStr">
        <is>
          <t>Error pages</t>
        </is>
      </c>
      <c r="E137" s="25" t="inlineStr">
        <is>
          <t>An unknown URL returns HTTP 404 with the branded not-found page, and its 홈으로 돌아가기 button returns to the homepage.</t>
        </is>
      </c>
      <c r="F137" s="13" t="inlineStr">
        <is>
          <t>Medium</t>
        </is>
      </c>
      <c r="G137" s="25" t="inlineStr">
        <is>
          <t>Negative</t>
        </is>
      </c>
      <c r="H137" s="25" t="inlineStr">
        <is>
          <t>Anonymous session.</t>
        </is>
      </c>
      <c r="I137" s="25" t="inlineStr">
        <is>
          <t>URL /kr/this-page-does-not-exist-e2e-check</t>
        </is>
      </c>
      <c r="J137" s="25" t="inlineStr">
        <is>
          <t xml:space="preserve">1. Open /kr/this-page-does-not-exist-e2e-check.
2. Check the HTTP response status.
3. Check the not-found heading.
4. Click 홈으로 돌아가기 (retry if the first click does nothing while the page hydrates).
5. Check the homepage hero heading.</t>
        </is>
      </c>
      <c r="K137" s="25" t="inlineStr">
        <is>
          <t>Response status is 404. Heading '앗! 페이지를 찾을 수 없습니다.' is visible. After clicking '홈으로 돌아가기' (retried for up to 30s), heading '스티커ㅋㅋㅋ, 이유가 있구나' is visible. No unexpected console/HTTP errors other than the deliberate 404 (guard fixture with allowExpectedNotFound).</t>
        </is>
      </c>
      <c r="L137" s="13" t="inlineStr">
        <is>
          <t>Automated</t>
        </is>
      </c>
      <c r="M137" s="25" t="inlineStr">
        <is>
          <t>Production-safe</t>
        </is>
      </c>
      <c r="N137" s="25" t="inlineStr">
        <is>
          <t>-</t>
        </is>
      </c>
      <c r="O137" s="25" t="inlineStr">
        <is>
          <t>tests/e2e/storefront/ux/error-pages.spec.ts</t>
        </is>
      </c>
      <c r="P137" s="25" t="inlineStr">
        <is>
          <t>MS-UX-003 unknown route serves the 404 page with a working way back home</t>
        </is>
      </c>
      <c r="Q137" s="25" t="inlineStr">
        <is>
          <t>@regression @production</t>
        </is>
      </c>
      <c r="R137" s="13" t="n">
        <v>1</v>
      </c>
      <c r="S137" s="25" t="inlineStr">
        <is>
          <t>Behaviour changed after 2026-08-11: unknown /kr routes used to redirect to home with 200; they now return a real 404. The first click on the button can be swallowed before hydration (about 1s), so manual testers may need to click again. The final URL is not asserted, only the hero heading.</t>
        </is>
      </c>
      <c r="T137" s="14" t="inlineStr">
        <is>
          <t>Not Run</t>
        </is>
      </c>
      <c r="U137" s="15" t="n"/>
      <c r="V137" s="15" t="n"/>
      <c r="W137" s="15" t="n"/>
      <c r="X137" s="15" t="n"/>
      <c r="Y137" s="25" t="inlineStr">
        <is>
          <t>MS-V2-043</t>
        </is>
      </c>
    </row>
    <row r="138" ht="150" customHeight="1">
      <c r="A138" s="12" t="inlineStr">
        <is>
          <t>MS-UX-004</t>
        </is>
      </c>
      <c r="B138" s="25" t="inlineStr">
        <is>
          <t>Storefront</t>
        </is>
      </c>
      <c r="C138" s="25" t="inlineStr">
        <is>
          <t>12. Accessibility, visual &amp; errors</t>
        </is>
      </c>
      <c r="D138" s="25" t="inlineStr">
        <is>
          <t>Axe accessibility</t>
        </is>
      </c>
      <c r="E138" s="25" t="inlineStr">
        <is>
          <t>Six key storefront pages have no new critical or serious WCAG 2.1 AA violations beyond the recorded known defects.</t>
        </is>
      </c>
      <c r="F138" s="13" t="inlineStr">
        <is>
          <t>High</t>
        </is>
      </c>
      <c r="G138" s="25" t="inlineStr">
        <is>
          <t>Accessibility</t>
        </is>
      </c>
      <c r="H138" s="25" t="inlineStr">
        <is>
          <t>Anonymous session (empty cart for the cart page).</t>
        </is>
      </c>
      <c r="I138" s="25" t="inlineStr">
        <is>
          <t>Pages and ready anchors: home (/kr, hero heading), sticker category (/kr/stickers, H1), die-cut sticker product (/kr/stickers/die-cut-sticker, options panel), FAQ (/kr/faq, text 도움이 필요하신가요?), login (/kr/auth/login, test id auth-login-page), empty cart (/kr/cart, test id cart-page); axe tags wcag2a, wcag2aa, wcag21a, wcag21aa</t>
        </is>
      </c>
      <c r="J138" s="25" t="inlineStr">
        <is>
          <t xml:space="preserve">1. Open the page under test.
2. Wait for its content anchor to be visible.
3. Run an axe-core scan with the WCAG 2.0/2.1 A and AA rules.
4. Compare critical/serious violations with the known-defect list.
5. Repeat for all six pages.</t>
        </is>
      </c>
      <c r="K138" s="25" t="inlineStr">
        <is>
          <t>No critical or serious violation whose rule is not in KNOWN_STOREFRONT_VIOLATIONS. Known rules stay within their limits: button-name at most 12 elements, color-contrast at most 8. Moderate/minor findings do not fail. Full axe results are attached as axe-results.json. No unexpected console/HTTP errors (guard fixture).</t>
        </is>
      </c>
      <c r="L138" s="13" t="inlineStr">
        <is>
          <t>Automated</t>
        </is>
      </c>
      <c r="M138" s="25" t="inlineStr">
        <is>
          <t>Production-safe</t>
        </is>
      </c>
      <c r="N138" s="25" t="inlineStr">
        <is>
          <t>-</t>
        </is>
      </c>
      <c r="O138" s="25" t="inlineStr">
        <is>
          <t>tests/e2e/storefront/ux/axe-accessibility.spec.ts</t>
        </is>
      </c>
      <c r="P138" s="25" t="inlineStr">
        <is>
          <t>MS-UX-004 home has no new WCAG AA violations</t>
        </is>
      </c>
      <c r="Q138" s="25" t="inlineStr">
        <is>
          <t>@regression @a11y @production</t>
        </is>
      </c>
      <c r="R138" s="13" t="n">
        <v>6</v>
      </c>
      <c r="S138" s="25" t="inlineStr">
        <is>
          <t>Known open defects (tests/fixtures/axe.ts, measured on development-1 2026-08-27): button-name (critical) - icon-only buttons without aria-label: notice bar prev/next/close (3 on every page) and product page .faq-section-card-button expanders (5); color-contrast (serious) - .locale-toggle KR button, white notice-bar title/message, data-tone='success' review badge (1-4 per page). The test passes with these present and fails on any new rule or if they spread above the limits.</t>
        </is>
      </c>
      <c r="T138" s="14" t="inlineStr">
        <is>
          <t>Not Run</t>
        </is>
      </c>
      <c r="U138" s="15" t="n"/>
      <c r="V138" s="15" t="n"/>
      <c r="W138" s="15" t="n"/>
      <c r="X138" s="15" t="n"/>
      <c r="Y138" s="25" t="inlineStr">
        <is>
          <t>MS-V2-106</t>
        </is>
      </c>
    </row>
    <row r="139" ht="150" customHeight="1">
      <c r="A139" s="12" t="inlineStr">
        <is>
          <t>MS-SEC-001</t>
        </is>
      </c>
      <c r="B139" s="25" t="inlineStr">
        <is>
          <t>Suite</t>
        </is>
      </c>
      <c r="C139" s="25" t="inlineStr">
        <is>
          <t>13. Suite safety &amp; resilience</t>
        </is>
      </c>
      <c r="D139" s="25" t="inlineStr">
        <is>
          <t>Internal origin scope</t>
        </is>
      </c>
      <c r="E139" s="25" t="inlineStr">
        <is>
          <t>All first-party musticker.com hostnames are treated as eligible to receive the internal-origin WAF key header.</t>
        </is>
      </c>
      <c r="F139" s="13" t="inlineStr">
        <is>
          <t>High</t>
        </is>
      </c>
      <c r="G139" s="25" t="inlineStr">
        <is>
          <t>Security</t>
        </is>
      </c>
      <c r="H139" s="25" t="inlineStr">
        <is>
          <t>None (pure logic check, no browser or network).</t>
        </is>
      </c>
      <c r="I139" s="25" t="inlineStr">
        <is>
          <t>musticker.com, www.musticker.com, static.musticker.com, api.musticker.com, dev.musticker.com, dev-3.musticker.com, dev-static-1-api.musticker.com</t>
        </is>
      </c>
      <c r="J139" s="25" t="inlineStr">
        <is>
          <t xml:space="preserve">1. For each first-party hostname, call the host check isMustickerHost(hostname) from tests/fixtures/hosts.ts.
2. Record the result for each hostname.</t>
        </is>
      </c>
      <c r="K139" s="25" t="inlineStr">
        <is>
          <t>isMustickerHost returns true for all 7 hostnames.</t>
        </is>
      </c>
      <c r="L139" s="13" t="inlineStr">
        <is>
          <t>Automated</t>
        </is>
      </c>
      <c r="M139" s="25" t="inlineStr">
        <is>
          <t>Any</t>
        </is>
      </c>
      <c r="N139" s="25" t="inlineStr">
        <is>
          <t>-</t>
        </is>
      </c>
      <c r="O139" s="25" t="inlineStr">
        <is>
          <t>tests/e2e/storefront/security/internal-origin-scope.spec.ts</t>
        </is>
      </c>
      <c r="P139" s="25" t="inlineStr">
        <is>
          <t>MS-SEC-001 first-party musticker hosts are in scope</t>
        </is>
      </c>
      <c r="Q139" s="25" t="inlineStr">
        <is>
          <t>@security</t>
        </is>
      </c>
      <c r="R139" s="13" t="n">
        <v>1</v>
      </c>
      <c r="S139" s="25" t="inlineStr">
        <is>
          <t>Priority inferred. Not in test-case.md. This is a unit test of the test harness (which requests carry the x-internal-origin CI key), not of the storefront; there is no manual UI equivalent.</t>
        </is>
      </c>
      <c r="T139" s="14" t="inlineStr">
        <is>
          <t>Not Run</t>
        </is>
      </c>
      <c r="U139" s="15" t="n"/>
      <c r="V139" s="15" t="n"/>
      <c r="W139" s="15" t="n"/>
      <c r="X139" s="15" t="n"/>
      <c r="Y139" s="25"/>
    </row>
    <row r="140" ht="150" customHeight="1">
      <c r="A140" s="12" t="inlineStr">
        <is>
          <t>MS-SEC-002</t>
        </is>
      </c>
      <c r="B140" s="25" t="inlineStr">
        <is>
          <t>Suite</t>
        </is>
      </c>
      <c r="C140" s="25" t="inlineStr">
        <is>
          <t>13. Suite safety &amp; resilience</t>
        </is>
      </c>
      <c r="D140" s="25" t="inlineStr">
        <is>
          <t>Internal origin scope</t>
        </is>
      </c>
      <c r="E140" s="25" t="inlineStr">
        <is>
          <t>Third-party and look-alike hostnames are never treated as eligible to receive the internal-origin WAF key header.</t>
        </is>
      </c>
      <c r="F140" s="13" t="inlineStr">
        <is>
          <t>High</t>
        </is>
      </c>
      <c r="G140" s="25" t="inlineStr">
        <is>
          <t>Security</t>
        </is>
      </c>
      <c r="H140" s="25" t="inlineStr">
        <is>
          <t>None (pure logic check, no browser or network).</t>
        </is>
      </c>
      <c r="I140" s="25" t="inlineStr">
        <is>
          <t>Third parties: www.google.com, www.googletagmanager.com, analytics.google.com, ad.doubleclick.net, googleads.g.doubleclick.net, wcs.naver.com, wcs.pstatic.net, nam.veta.naver.com; look-alikes: foomusticker.com, notmusticker.com, mustickerAcom; suffix attack: musticker.com.evil.net</t>
        </is>
      </c>
      <c r="J140" s="25" t="inlineStr">
        <is>
          <t xml:space="preserve">1. For each third-party, look-alike and suffix-attack hostname, call isMustickerHost(hostname).
2. Record the result for each hostname.</t>
        </is>
      </c>
      <c r="K140" s="25" t="inlineStr">
        <is>
          <t>isMustickerHost returns false for all 12 hostnames.</t>
        </is>
      </c>
      <c r="L140" s="13" t="inlineStr">
        <is>
          <t>Automated</t>
        </is>
      </c>
      <c r="M140" s="25" t="inlineStr">
        <is>
          <t>Any</t>
        </is>
      </c>
      <c r="N140" s="25" t="inlineStr">
        <is>
          <t>-</t>
        </is>
      </c>
      <c r="O140" s="25" t="inlineStr">
        <is>
          <t>tests/e2e/storefront/security/internal-origin-scope.spec.ts</t>
        </is>
      </c>
      <c r="P140" s="25" t="inlineStr">
        <is>
          <t>MS-SEC-002 third-party and look-alike hosts are out of scope</t>
        </is>
      </c>
      <c r="Q140" s="25" t="inlineStr">
        <is>
          <t>@security</t>
        </is>
      </c>
      <c r="R140" s="13" t="n">
        <v>1</v>
      </c>
      <c r="S140" s="25" t="inlineStr">
        <is>
          <t>Priority inferred. Not in test-case.md. Guards against an unescaped-dot regex that would send the CI secret to domains like foomusticker.com. Harness unit test; no manual UI equivalent.</t>
        </is>
      </c>
      <c r="T140" s="14" t="inlineStr">
        <is>
          <t>Not Run</t>
        </is>
      </c>
      <c r="U140" s="15" t="n"/>
      <c r="V140" s="15" t="n"/>
      <c r="W140" s="15" t="n"/>
      <c r="X140" s="15" t="n"/>
      <c r="Y140" s="25"/>
    </row>
    <row r="141" ht="150" customHeight="1">
      <c r="A141" s="12" t="inlineStr">
        <is>
          <t>MS-SEC-003</t>
        </is>
      </c>
      <c r="B141" s="25" t="inlineStr">
        <is>
          <t>Suite</t>
        </is>
      </c>
      <c r="C141" s="25" t="inlineStr">
        <is>
          <t>13. Suite safety &amp; resilience</t>
        </is>
      </c>
      <c r="D141" s="25" t="inlineStr">
        <is>
          <t>Internal origin scope</t>
        </is>
      </c>
      <c r="E141" s="25" t="inlineStr">
        <is>
          <t>Production uses the production internal-origin key variable and every static-* dev environment uses the dev key variable.</t>
        </is>
      </c>
      <c r="F141" s="13" t="inlineStr">
        <is>
          <t>High</t>
        </is>
      </c>
      <c r="G141" s="25" t="inlineStr">
        <is>
          <t>Security</t>
        </is>
      </c>
      <c r="H141" s="25" t="inlineStr">
        <is>
          <t>None (pure logic check, no browser or network).</t>
        </is>
      </c>
      <c r="I141" s="25" t="inlineStr">
        <is>
          <t>production; static-1, static-2, static-3, static-4, static-5, static-6, static-7, static-8</t>
        </is>
      </c>
      <c r="J141" s="25" t="inlineStr">
        <is>
          <t xml:space="preserve">1. Call internalOriginKeyVarFor('production').
2. Call internalOriginKeyVarFor for each of the eight static-* environments.</t>
        </is>
      </c>
      <c r="K141" s="25" t="inlineStr">
        <is>
          <t>production resolves to 'INTERNAL_ORIGIN_KEY'. Each static-* environment resolves to 'DEV_INTERNAL_ORIGIN_KEY'.</t>
        </is>
      </c>
      <c r="L141" s="13" t="inlineStr">
        <is>
          <t>Automated</t>
        </is>
      </c>
      <c r="M141" s="25" t="inlineStr">
        <is>
          <t>Any</t>
        </is>
      </c>
      <c r="N141" s="25" t="inlineStr">
        <is>
          <t>-</t>
        </is>
      </c>
      <c r="O141" s="25" t="inlineStr">
        <is>
          <t>tests/e2e/storefront/security/internal-origin-scope.spec.ts</t>
        </is>
      </c>
      <c r="P141" s="25" t="inlineStr">
        <is>
          <t>MS-SEC-003 each environment resolves to its own key</t>
        </is>
      </c>
      <c r="Q141" s="25" t="inlineStr">
        <is>
          <t>@security</t>
        </is>
      </c>
      <c r="R141" s="13" t="n">
        <v>1</v>
      </c>
      <c r="S141" s="25" t="inlineStr">
        <is>
          <t>Priority inferred. Not in test-case.md. Prevents the production credential being sent to less-guarded dev servers. Harness unit test (tests/fixtures/env.ts).</t>
        </is>
      </c>
      <c r="T141" s="14" t="inlineStr">
        <is>
          <t>Not Run</t>
        </is>
      </c>
      <c r="U141" s="15" t="n"/>
      <c r="V141" s="15" t="n"/>
      <c r="W141" s="15" t="n"/>
      <c r="X141" s="15" t="n"/>
      <c r="Y141" s="25"/>
    </row>
    <row r="142" ht="150" customHeight="1">
      <c r="A142" s="12" t="inlineStr">
        <is>
          <t>MS-SEC-004</t>
        </is>
      </c>
      <c r="B142" s="25" t="inlineStr">
        <is>
          <t>Suite</t>
        </is>
      </c>
      <c r="C142" s="25" t="inlineStr">
        <is>
          <t>13. Suite safety &amp; resilience</t>
        </is>
      </c>
      <c r="D142" s="25" t="inlineStr">
        <is>
          <t>Internal origin scope</t>
        </is>
      </c>
      <c r="E142" s="25" t="inlineStr">
        <is>
          <t>An unrecognised target environment gets no internal-origin key at all.</t>
        </is>
      </c>
      <c r="F142" s="13" t="inlineStr">
        <is>
          <t>High</t>
        </is>
      </c>
      <c r="G142" s="25" t="inlineStr">
        <is>
          <t>Security</t>
        </is>
      </c>
      <c r="H142" s="25" t="inlineStr">
        <is>
          <t>None (pure logic check, no browser or network).</t>
        </is>
      </c>
      <c r="I142" s="25" t="inlineStr">
        <is>
          <t>environment = undefined (BASE_URL not in the environment registry)</t>
        </is>
      </c>
      <c r="J142" s="25" t="inlineStr">
        <is>
          <t xml:space="preserve">1. Call internalOriginKeyVarFor(undefined).
2. Check the returned value.</t>
        </is>
      </c>
      <c r="K142" s="25" t="inlineStr">
        <is>
          <t>The result is undefined (no key variable, so no header is sent).</t>
        </is>
      </c>
      <c r="L142" s="13" t="inlineStr">
        <is>
          <t>Automated</t>
        </is>
      </c>
      <c r="M142" s="25" t="inlineStr">
        <is>
          <t>Any</t>
        </is>
      </c>
      <c r="N142" s="25" t="inlineStr">
        <is>
          <t>-</t>
        </is>
      </c>
      <c r="O142" s="25" t="inlineStr">
        <is>
          <t>tests/e2e/storefront/security/internal-origin-scope.spec.ts</t>
        </is>
      </c>
      <c r="P142" s="25" t="inlineStr">
        <is>
          <t>MS-SEC-004 an unrecognised environment gets no key at all</t>
        </is>
      </c>
      <c r="Q142" s="25" t="inlineStr">
        <is>
          <t>@security</t>
        </is>
      </c>
      <c r="R142" s="13" t="n">
        <v>1</v>
      </c>
      <c r="S142" s="25" t="inlineStr">
        <is>
          <t>Priority inferred. Not in test-case.md. Harness unit test; guessing production for an ad-hoc BASE_URL would be unsafe.</t>
        </is>
      </c>
      <c r="T142" s="14" t="inlineStr">
        <is>
          <t>Not Run</t>
        </is>
      </c>
      <c r="U142" s="15" t="n"/>
      <c r="V142" s="15" t="n"/>
      <c r="W142" s="15" t="n"/>
      <c r="X142" s="15" t="n"/>
      <c r="Y142" s="25"/>
    </row>
    <row r="143" ht="150" customHeight="1">
      <c r="A143" s="12" t="inlineStr">
        <is>
          <t>MS-WAF-001</t>
        </is>
      </c>
      <c r="B143" s="25" t="inlineStr">
        <is>
          <t>Suite</t>
        </is>
      </c>
      <c r="C143" s="25" t="inlineStr">
        <is>
          <t>13. Suite safety &amp; resilience</t>
        </is>
      </c>
      <c r="D143" s="25" t="inlineStr">
        <is>
          <t>Throttle detection</t>
        </is>
      </c>
      <c r="E143" s="25" t="inlineStr">
        <is>
          <t>When the page document loads but its assets are all refused with 403, the navigation helper retries the full ladder and reports WAF throttling.</t>
        </is>
      </c>
      <c r="F143" s="13" t="inlineStr">
        <is>
          <t>Medium</t>
        </is>
      </c>
      <c r="G143" s="25" t="inlineStr">
        <is>
          <t>Negative</t>
        </is>
      </c>
      <c r="H143" s="25" t="inlineStr">
        <is>
          <t>Hermetic: every request is answered by a Playwright route mock (no real server); plain Playwright fixture without the console/network guard.</t>
        </is>
      </c>
      <c r="I143" s="25" t="inlineStr">
        <is>
          <t>Mocked document: 200 HTML shell with 1 stylesheet and 3 scripts under /_nuxt/; all other requests 403 'Forbidden'; target path /kr/stickers/die-cut-sticker; retry ladder 2s, 4s, 8s, 15s, 25s (6 attempts)</t>
        </is>
      </c>
      <c r="J143" s="25" t="inlineStr">
        <is>
          <t xml:space="preserve">1. Mock all requests: documents return the 200 HTML shell, every other resource returns 403.
2. Navigate to /kr/stickers/die-cut-sticker with the storefront navigation helper (gotoStorefront).
3. Let the helper retry until it gives up (about 54s).
4. Count how many document requests were made.</t>
        </is>
      </c>
      <c r="K143" s="25" t="inlineStr">
        <is>
          <t>Navigation fails with an error containing 'assets were refused'. The document was requested exactly throttleRetryAttempts times (6: one initial request plus 5 retries).</t>
        </is>
      </c>
      <c r="L143" s="13" t="inlineStr">
        <is>
          <t>Automated</t>
        </is>
      </c>
      <c r="M143" s="25" t="inlineStr">
        <is>
          <t>Any</t>
        </is>
      </c>
      <c r="N143" s="25" t="inlineStr">
        <is>
          <t>-</t>
        </is>
      </c>
      <c r="O143" s="25" t="inlineStr">
        <is>
          <t>tests/e2e/storefront/security/throttle-detection.spec.ts</t>
        </is>
      </c>
      <c r="P143" s="25" t="inlineStr">
        <is>
          <t>MS-WAF-001 a subresource 403 storm is reported as throttling, not as missing content</t>
        </is>
      </c>
      <c r="Q143" s="25" t="inlineStr">
        <is>
          <t>@security</t>
        </is>
      </c>
      <c r="R143" s="13" t="n">
        <v>1</v>
      </c>
      <c r="S143" s="25" t="inlineStr">
        <is>
          <t>Priority inferred. Not in test-case.md. Tests the test harness (tests/fixtures/navigation.ts), not the storefront. Slow: about 54s of the 60s test timeout; fits only because the helper extends the deadline by the slept time. Detection threshold is 3 or more refused assets.</t>
        </is>
      </c>
      <c r="T143" s="14" t="inlineStr">
        <is>
          <t>Not Run</t>
        </is>
      </c>
      <c r="U143" s="15" t="n"/>
      <c r="V143" s="15" t="n"/>
      <c r="W143" s="15" t="n"/>
      <c r="X143" s="15" t="n"/>
      <c r="Y143" s="25"/>
    </row>
    <row r="144" ht="150" customHeight="1">
      <c r="A144" s="12" t="inlineStr">
        <is>
          <t>MS-WAF-002</t>
        </is>
      </c>
      <c r="B144" s="25" t="inlineStr">
        <is>
          <t>Suite</t>
        </is>
      </c>
      <c r="C144" s="25" t="inlineStr">
        <is>
          <t>13. Suite safety &amp; resilience</t>
        </is>
      </c>
      <c r="D144" s="25" t="inlineStr">
        <is>
          <t>Throttle detection</t>
        </is>
      </c>
      <c r="E144" s="25" t="inlineStr">
        <is>
          <t>A page whose document and assets all load successfully is returned by the navigation helper without any retry.</t>
        </is>
      </c>
      <c r="F144" s="13" t="inlineStr">
        <is>
          <t>Medium</t>
        </is>
      </c>
      <c r="G144" s="25" t="inlineStr">
        <is>
          <t>Positive</t>
        </is>
      </c>
      <c r="H144" s="25" t="inlineStr">
        <is>
          <t>Hermetic route mock (no real server); plain Playwright fixture.</t>
        </is>
      </c>
      <c r="I144" s="25" t="inlineStr">
        <is>
          <t>Mocked document: 200 HTML shell; all other requests 200 with empty body; target path /kr/stickers/die-cut-sticker</t>
        </is>
      </c>
      <c r="J144" s="25" t="inlineStr">
        <is>
          <t xml:space="preserve">1. Mock all requests: documents return the 200 HTML shell, every other resource returns 200.
2. Navigate to /kr/stickers/die-cut-sticker with gotoStorefront.
3. Check the returned response and count document requests.</t>
        </is>
      </c>
      <c r="K144" s="25" t="inlineStr">
        <is>
          <t>The returned response status is 200. The document was requested exactly once.</t>
        </is>
      </c>
      <c r="L144" s="13" t="inlineStr">
        <is>
          <t>Automated</t>
        </is>
      </c>
      <c r="M144" s="25" t="inlineStr">
        <is>
          <t>Any</t>
        </is>
      </c>
      <c r="N144" s="25" t="inlineStr">
        <is>
          <t>-</t>
        </is>
      </c>
      <c r="O144" s="25" t="inlineStr">
        <is>
          <t>tests/e2e/storefront/security/throttle-detection.spec.ts</t>
        </is>
      </c>
      <c r="P144" s="25" t="inlineStr">
        <is>
          <t>MS-WAF-002 a clean page is returned untouched</t>
        </is>
      </c>
      <c r="Q144" s="25" t="inlineStr">
        <is>
          <t>@security</t>
        </is>
      </c>
      <c r="R144" s="13" t="n">
        <v>1</v>
      </c>
      <c r="S144" s="25" t="inlineStr">
        <is>
          <t>Priority inferred. Not in test-case.md. Harness self-test; no manual equivalent.</t>
        </is>
      </c>
      <c r="T144" s="14" t="inlineStr">
        <is>
          <t>Not Run</t>
        </is>
      </c>
      <c r="U144" s="15" t="n"/>
      <c r="V144" s="15" t="n"/>
      <c r="W144" s="15" t="n"/>
      <c r="X144" s="15" t="n"/>
      <c r="Y144" s="25"/>
    </row>
    <row r="145" ht="150" customHeight="1">
      <c r="A145" s="12" t="inlineStr">
        <is>
          <t>MS-WAF-003</t>
        </is>
      </c>
      <c r="B145" s="25" t="inlineStr">
        <is>
          <t>Suite</t>
        </is>
      </c>
      <c r="C145" s="25" t="inlineStr">
        <is>
          <t>13. Suite safety &amp; resilience</t>
        </is>
      </c>
      <c r="D145" s="25" t="inlineStr">
        <is>
          <t>Throttle detection</t>
        </is>
      </c>
      <c r="E145" s="25" t="inlineStr">
        <is>
          <t>A single refused asset is passed through as a real failure and is not mistaken for WAF throttling.</t>
        </is>
      </c>
      <c r="F145" s="13" t="inlineStr">
        <is>
          <t>Medium</t>
        </is>
      </c>
      <c r="G145" s="25" t="inlineStr">
        <is>
          <t>Boundary</t>
        </is>
      </c>
      <c r="H145" s="25" t="inlineStr">
        <is>
          <t>Hermetic route mock (no real server); plain Playwright fixture.</t>
        </is>
      </c>
      <c r="I145" s="25" t="inlineStr">
        <is>
          <t>Mocked document: 200 HTML shell; only /_nuxt/a.css returns 403, all other assets 200; threshold is 3 refused assets</t>
        </is>
      </c>
      <c r="J145" s="25" t="inlineStr">
        <is>
          <t xml:space="preserve">1. Mock all requests: documents return the 200 HTML shell, /_nuxt/a.css returns 403, other assets return 200.
2. Navigate to /kr/stickers/die-cut-sticker with gotoStorefront.
3. Check the returned response and count document requests.</t>
        </is>
      </c>
      <c r="K145" s="25" t="inlineStr">
        <is>
          <t>The returned response status is 200. The document was requested exactly once (no retry ladder).</t>
        </is>
      </c>
      <c r="L145" s="13" t="inlineStr">
        <is>
          <t>Automated</t>
        </is>
      </c>
      <c r="M145" s="25" t="inlineStr">
        <is>
          <t>Any</t>
        </is>
      </c>
      <c r="N145" s="25" t="inlineStr">
        <is>
          <t>-</t>
        </is>
      </c>
      <c r="O145" s="25" t="inlineStr">
        <is>
          <t>tests/e2e/storefront/security/throttle-detection.spec.ts</t>
        </is>
      </c>
      <c r="P145" s="25" t="inlineStr">
        <is>
          <t>MS-WAF-003 one refused asset is left alone, not relabelled as throttling</t>
        </is>
      </c>
      <c r="Q145" s="25" t="inlineStr">
        <is>
          <t>@security</t>
        </is>
      </c>
      <c r="R145" s="13" t="n">
        <v>1</v>
      </c>
      <c r="S145" s="25" t="inlineStr">
        <is>
          <t>Priority inferred. Not in test-case.md. Harness self-test: one refused asset is below the 3-asset threshold (subresourceBlockThreshold).</t>
        </is>
      </c>
      <c r="T145" s="14" t="inlineStr">
        <is>
          <t>Not Run</t>
        </is>
      </c>
      <c r="U145" s="15" t="n"/>
      <c r="V145" s="15" t="n"/>
      <c r="W145" s="15" t="n"/>
      <c r="X145" s="15" t="n"/>
      <c r="Y145" s="25"/>
    </row>
    <row r="146" ht="150" customHeight="1">
      <c r="A146" s="12" t="inlineStr">
        <is>
          <t>MS-ADMO-001</t>
        </is>
      </c>
      <c r="B146" s="25" t="inlineStr">
        <is>
          <t>Storefront + Admin</t>
        </is>
      </c>
      <c r="C146" s="25" t="inlineStr">
        <is>
          <t>14. Admin - order processing</t>
        </is>
      </c>
      <c r="D146" s="25" t="inlineStr">
        <is>
          <t>Order processing</t>
        </is>
      </c>
      <c r="E146" s="25" t="inlineStr">
        <is>
          <t>One paid order is taken from artwork upload through rejection, resubmission, proof approval, production and shipping to delivered across the storefront and the admin panel.</t>
        </is>
      </c>
      <c r="F146" s="13" t="inlineStr">
        <is>
          <t>Critical</t>
        </is>
      </c>
      <c r="G146" s="25" t="inlineStr">
        <is>
          <t>E2E</t>
        </is>
      </c>
      <c r="H146" s="25" t="inlineStr">
        <is>
          <t>E2E_ENVIRONMENT=static-1. Saved admin session .auth/admin-static-1.json captured with `npm run admin:login` (verification code from sales@musticker.com) and still accepted by /sys/kr/auth/admin/me. Seeded member credentials (AUTH_TEST_EMAIL) set. ADMIN_E2E_ORDER_NO = a paid (PD), single-item order of the seeded member in 제작 전 (BP) whose item is at 디자인 파일 미제출 -- each run consumes one such order.</t>
        </is>
      </c>
      <c r="I146" s="25" t="inlineStr">
        <is>
          <t>Design file tests/fixtures/files/sample-design.png; proof file tests/fixtures/files/qa-proof.png (transparent .png); rejection feedback "QA automation &lt;timestamp&gt;: resolution too low, ..."; proof message "QA automation proof for &lt;order no&gt;."; tracking number QATE + last 12 digits of epoch ms (16 chars, so the 4-4-4-4 reformat does not change it). Reference orders walked by hand: AO-2609240008-dev, AO-2609250005-dev. Automated runs 2026-10-14: AO-2609180003-dev, AO-2609090017-dev.</t>
        </is>
      </c>
      <c r="J146" s="25" t="inlineStr">
        <is>
          <t xml:space="preserve">1. Admin API: confirm the seed order belongs to the member, is BP, payment PD, 1 item, item status id 1 (디자인 파일 미제출).
2. Storefront /kr/account/orders: open the order; check order 제작 전, item 디자인 파일 미제출, product name, size WxHmm, quantity 개 and cost 원 match the admin API.
3. Storefront: 디자인 파일 업로드 -&gt; choose sample-design.png -&gt; 업로드하기; item shows 디자인 파일 제출 완료.
4. Admin /orders: search the order number, open it; header shows the number and 제작 전, item 디자인 파일 제출 완료.
5. Admin item drawer: artwork file name shown; Make Evaluation -&gt; select Failed -&gt; enter feedback -&gt; Submit Evaluation; drawer shows 검토 반려.
6. Storefront: item shows 검토 반려; 디자인 파일 재접수 dialog shows 담당자 의견 with the feedback; upload the file -&gt; 재접수하기; item 디자인 파일 제출 완료.
7. Admin: reopen the item; Make Evaluation -&gt; Passed -&gt; Submit Evaluation; 검토 승인. Reopen; upload qa-proof.png, enter the proof message, Send Final Proof; 승인 대기.
8. Storefront: item 승인 대기; 최종 시안 확인 -&gt; 디자인 상세 모달 shows the proof image -&gt; 승인 -&gt; confirm dialog "최종 시안을 승인하시겠습니까?": tick 시안 안내사항을 확인했으며 내용을 이해했습니다. -&gt; 최종 시안 승인; item 최종 승인 완료.
9. Admin: header Mark as Printing -&gt; Yes, Mark as Printing.
10. Admin: Add Tracking Number -&gt; enter the number -&gt; Add Tracking -&gt; Close; tracking card Send -&gt; Yes, Send Tracking; Update -&gt; Update Status (today's date).
11. Storefront: open the order again (searched under 진행 중, then 이전 내역).
12. Admin API: read the item activity log.</t>
        </is>
      </c>
      <c r="K146" s="25" t="inlineStr">
        <is>
          <t>Step 3: activity SA, attributed to the customer (is_admin=false), file_name sample-design.png. Step 5: "Artwork evaluation completed successfully.", activity FE with the feedback text. Step 6: the customer sees the exact feedback; activity SA with event artwork-updated. Step 7: PE, then "Final proof sent successfully." and NA. Step 8: the dialog says the order moves to 제작 대기 (제작 대기 상태로 전환) and 최종 시안 승인 stays disabled until the tick; A-FPA, attributed to the customer; the order stays 제작 전 (BP) in the admin API and on the storefront. Step 9: order FP (제작 진행 중), item P (인쇄 진행 중). Step 10: "Tracking number added successfully." -&gt; order SP, item RS (출고 준비 완료); "Tracking details sent successfully." -&gt; item OD (배송 중); after Update -&gt; order CP (주문 완료), item DE (배송 완료); tracking API returns the number with tracking_status completed. Step 11: order 주문 완료, item 배송 완료, 배송 조회 section with link "운송장 번호: &lt;number&gt;". Step 12: item codes oldest-first are exactly SA, CA, FE, SA, CA, PE, NA, A-FPA, P, RS, OD, DE.</t>
        </is>
      </c>
      <c r="L146" s="13" t="inlineStr">
        <is>
          <t>Automated</t>
        </is>
      </c>
      <c r="M146" s="25" t="inlineStr">
        <is>
          <t>Dev only</t>
        </is>
      </c>
      <c r="N146" s="25" t="inlineStr">
        <is>
          <t>RUN_ADMIN_DESTRUCTIVE_E2E=true + saved admin session (.auth/admin-static-1.json) + seeded member credentials + ADMIN_E2E_ORDER_NO; refuses any environment but static-1 (npm run test:admin:destructive).</t>
        </is>
      </c>
      <c r="O146" s="25" t="inlineStr">
        <is>
          <t>tests/e2e/admin/orders/order-processing.spec.ts</t>
        </is>
      </c>
      <c r="P146" s="25" t="inlineStr">
        <is>
          <t>MS-ADMO-001 artwork review, customer proof approval, production and delivery</t>
        </is>
      </c>
      <c r="Q146" s="25" t="inlineStr">
        <is>
          <t>@admin @e2e @destructive @slow @credentialed</t>
        </is>
      </c>
      <c r="R146" s="13" t="n">
        <v>1</v>
      </c>
      <c r="S146" s="25" t="inlineStr">
        <is>
          <t>Changes real dev data and emails the seeded member at each notification step. 8-minute timeout. The order cannot yet be placed by the test: dev-static-1 checkout runs a Cloudflare bot check ("거의 다 되었어요") that the suite must not bypass, so the order is pre-seeded via ADMIN_E2E_ORDER_NO (skips without it). The admin page must never be recorded (real customer PII, public CI artifacts): Playwright's failure screenshots and traces cover every open page, so the spec turns both off and the adminPage fixture refuses to start otherwise (found 2026-10-14). Known defect accommodated, not asserted: staff printing and shipping entries (P, RS, OD, DE) are logged as the customer (is_admin=false, MUS-QA-001), so attribution is only asserted on the customer's own steps. The evaluation toggle defaults to Failed (MUS-QA-005), so Passed is clicked explicitly. Product changes absorbed 2026-10-14: approval needs the acknowledgement tick; A-FPA is labelled 최종 승인 완료 (was 승인 완료 - 제작 승인 대기); Move to Production was removed, so Mark as Printing moves the order to 제작 진행 중 and the item straight to 인쇄 진행 중 (no PO); completed orders are listed under 이전 내역, and an order search with no match shows 주문을 찾을 수 없습니다.</t>
        </is>
      </c>
      <c r="T146" s="14" t="inlineStr">
        <is>
          <t>Pass</t>
        </is>
      </c>
      <c r="U146" s="15" t="n"/>
      <c r="V146" s="15" t="inlineStr">
        <is>
          <t>Claude Code, for Rome</t>
        </is>
      </c>
      <c r="W146" s="15" t="inlineStr">
        <is>
          <t>2026-10-14</t>
        </is>
      </c>
      <c r="X146" s="15" t="inlineStr">
        <is>
          <t>static-1. Every step has passed on the final code, but across two runs, not one uninterrupted run. Run 1 (AO-2609180003-dev) passed steps 1-7 and failed at step 8 on the redesigned approval dialog; with that fixed, the order was finished by a temporary script that found the other two flow changes (A-FPA label, no Move to Production). Run 2 (AO-2609090017-dev) with the updated spec passed steps 1-10 and failed at step 11 on the new no-results state of the order search; with that fixed, steps 11-12 passed against the same order. One seed order is left (AO-2609070006-dev) for a single clean run.</t>
        </is>
      </c>
      <c r="Y146" s="25" t="inlineStr">
        <is>
          <t>MS-ADM-001</t>
        </is>
      </c>
    </row>
    <row r="147" ht="150" customHeight="1">
      <c r="A147" s="12" t="inlineStr">
        <is>
          <t>MS-ADMO-002</t>
        </is>
      </c>
      <c r="B147" s="25" t="inlineStr">
        <is>
          <t>Admin</t>
        </is>
      </c>
      <c r="C147" s="25" t="inlineStr">
        <is>
          <t>14. Admin - order processing</t>
        </is>
      </c>
      <c r="D147" s="25" t="inlineStr">
        <is>
          <t>Artwork evaluation</t>
        </is>
      </c>
      <c r="E147" s="25" t="inlineStr">
        <is>
          <t>Clicking Make Evaluation immediately sets the item to 검토 중, and submitting Passed moves it to 검토 승인 with the proof form shown.</t>
        </is>
      </c>
      <c r="F147" s="13" t="inlineStr">
        <is>
          <t>High</t>
        </is>
      </c>
      <c r="G147" s="25" t="inlineStr">
        <is>
          <t>State transition</t>
        </is>
      </c>
      <c r="H147" s="25" t="inlineStr">
        <is>
          <t>Admin panel static-1 (https://dev-static-1-admin-panel.musticker.com) signed in with a staff account. Test order whose item is at 디자인 파일 제출 완료 (customer uploaded a file).</t>
        </is>
      </c>
      <c r="I147" s="25" t="inlineStr">
        <is>
          <t>Seed test order of the QA member.</t>
        </is>
      </c>
      <c r="J147" s="25" t="inlineStr">
        <is>
          <t xml:space="preserve">1. Open the order and click the item row to open the item drawer.
2. Click Make Evaluation.
3. Without submitting, close the drawer and check the item status in the list and via the activity log.
4. Reopen the drawer, click Make Evaluation, select Passed explicitly, click Submit Evaluation.
5. Close and reopen the drawer.</t>
        </is>
      </c>
      <c r="K147" s="25" t="inlineStr">
        <is>
          <t>Step 3: the item is already 디자인 파일 검토 중 (activity CA) even though nothing was submitted. Step 4: "Artwork evaluation completed successfully."; item 검토 승인 (PE). Step 5: the drawer shows the Send Final Proof form.</t>
        </is>
      </c>
      <c r="L147" s="13" t="inlineStr">
        <is>
          <t>Planned</t>
        </is>
      </c>
      <c r="M147" s="25" t="inlineStr">
        <is>
          <t>Dev only</t>
        </is>
      </c>
      <c r="N147" s="25" t="inlineStr">
        <is>
          <t>RUN_ADMIN_DESTRUCTIVE_E2E=true + saved admin session</t>
        </is>
      </c>
      <c r="O147" s="25" t="inlineStr">
        <is>
          <t>-</t>
        </is>
      </c>
      <c r="P147" s="25" t="inlineStr">
        <is>
          <t>-</t>
        </is>
      </c>
      <c r="Q147" s="25" t="inlineStr">
        <is>
          <t>-</t>
        </is>
      </c>
      <c r="R147" s="13" t="n">
        <v>0</v>
      </c>
      <c r="S147" s="25" t="inlineStr">
        <is>
          <t>Known defect 2026-09-25: the Make Evaluation toggle defaults to Failed, so submitting without choosing rejects the customer's file. Clicking Make Evaluation alone changes status; confirm with product whether opening the panel should be a state change.</t>
        </is>
      </c>
      <c r="T147" s="14" t="inlineStr">
        <is>
          <t>Not Run</t>
        </is>
      </c>
      <c r="U147" s="15" t="n"/>
      <c r="V147" s="15" t="n"/>
      <c r="W147" s="15" t="n"/>
      <c r="X147" s="15" t="n"/>
      <c r="Y147" s="25" t="inlineStr">
        <is>
          <t>MS-ADM-007</t>
        </is>
      </c>
    </row>
    <row r="148" ht="150" customHeight="1">
      <c r="A148" s="12" t="inlineStr">
        <is>
          <t>MS-ADMO-003</t>
        </is>
      </c>
      <c r="B148" s="25" t="inlineStr">
        <is>
          <t>Admin</t>
        </is>
      </c>
      <c r="C148" s="25" t="inlineStr">
        <is>
          <t>14. Admin - order processing</t>
        </is>
      </c>
      <c r="D148" s="25" t="inlineStr">
        <is>
          <t>Artwork evaluation</t>
        </is>
      </c>
      <c r="E148" s="25" t="inlineStr">
        <is>
          <t>The evaluation toggle starts on Failed and a Failed evaluation cannot be submitted without feedback.</t>
        </is>
      </c>
      <c r="F148" s="13" t="inlineStr">
        <is>
          <t>High</t>
        </is>
      </c>
      <c r="G148" s="25" t="inlineStr">
        <is>
          <t>Validation</t>
        </is>
      </c>
      <c r="H148" s="25" t="inlineStr">
        <is>
          <t>Admin panel static-1 (https://dev-static-1-admin-panel.musticker.com) signed in with a staff account. Test order item at 디자인 파일 제출 완료.</t>
        </is>
      </c>
      <c r="I148" s="25" t="inlineStr">
        <is>
          <t>Feedback text "QA: resolution too low".</t>
        </is>
      </c>
      <c r="J148" s="25" t="inlineStr">
        <is>
          <t xml:space="preserve">1. Open the item drawer and click Make Evaluation.
2. Observe which result (Passed/Failed) is preselected.
3. With Failed selected and the "Enter feedback here..." box empty, click Submit Evaluation.
4. Enter feedback and submit.</t>
        </is>
      </c>
      <c r="K148" s="25" t="inlineStr">
        <is>
          <t>Step 2: currently Failed is preselected (defect, see notes). Step 3: the submission is refused and feedback is flagged as required; the item stays 검토 중. Step 4: saved; item 검토 반려.</t>
        </is>
      </c>
      <c r="L148" s="13" t="inlineStr">
        <is>
          <t>Planned</t>
        </is>
      </c>
      <c r="M148" s="25" t="inlineStr">
        <is>
          <t>Dev only</t>
        </is>
      </c>
      <c r="N148" s="25" t="inlineStr">
        <is>
          <t>RUN_ADMIN_DESTRUCTIVE_E2E=true + saved admin session</t>
        </is>
      </c>
      <c r="O148" s="25" t="inlineStr">
        <is>
          <t>-</t>
        </is>
      </c>
      <c r="P148" s="25" t="inlineStr">
        <is>
          <t>-</t>
        </is>
      </c>
      <c r="Q148" s="25" t="inlineStr">
        <is>
          <t>-</t>
        </is>
      </c>
      <c r="R148" s="13" t="n">
        <v>0</v>
      </c>
      <c r="S148" s="25" t="inlineStr">
        <is>
          <t>Known defect 2026-09-25: the Make Evaluation toggle defaults to Failed, so submitting without choosing rejects the customer's file.</t>
        </is>
      </c>
      <c r="T148" s="14" t="inlineStr">
        <is>
          <t>Not Run</t>
        </is>
      </c>
      <c r="U148" s="15" t="n"/>
      <c r="V148" s="15" t="n"/>
      <c r="W148" s="15" t="n"/>
      <c r="X148" s="15" t="n"/>
      <c r="Y148" s="25" t="inlineStr">
        <is>
          <t>MS-ADM-008</t>
        </is>
      </c>
    </row>
    <row r="149" ht="150" customHeight="1">
      <c r="A149" s="12" t="inlineStr">
        <is>
          <t>MS-ADMO-004</t>
        </is>
      </c>
      <c r="B149" s="25" t="inlineStr">
        <is>
          <t>Storefront + Admin</t>
        </is>
      </c>
      <c r="C149" s="25" t="inlineStr">
        <is>
          <t>14. Admin - order processing</t>
        </is>
      </c>
      <c r="D149" s="25" t="inlineStr">
        <is>
          <t>Artwork evaluation</t>
        </is>
      </c>
      <c r="E149" s="25" t="inlineStr">
        <is>
          <t>After a Failed evaluation the customer sees the reviewer feedback in the 디자인 파일 재접수 dialog and can resubmit, and staff get Re-Evaluate.</t>
        </is>
      </c>
      <c r="F149" s="13" t="inlineStr">
        <is>
          <t>High</t>
        </is>
      </c>
      <c r="G149" s="25" t="inlineStr">
        <is>
          <t>E2E</t>
        </is>
      </c>
      <c r="H149" s="25" t="inlineStr">
        <is>
          <t>Admin panel static-1 (https://dev-static-1-admin-panel.musticker.com) signed in with a staff account. Seeded member signed in on the storefront; test order item at 디자인 파일 제출 완료.</t>
        </is>
      </c>
      <c r="I149" s="25" t="inlineStr">
        <is>
          <t>Feedback "QA rejection &lt;timestamp&gt;"; resubmission file sample-design.png.</t>
        </is>
      </c>
      <c r="J149" s="25" t="inlineStr">
        <is>
          <t xml:space="preserve">1. Admin: Make Evaluation -&gt; Failed -&gt; feedback -&gt; Submit Evaluation.
2. Storefront /kr/account/orders: open the order.
3. Click 디자인 파일 재접수 and read the dialog.
4. Upload the file and click 재접수하기.
5. Admin: reopen the item drawer.</t>
        </is>
      </c>
      <c r="K149" s="25" t="inlineStr">
        <is>
          <t>Step 1: item 검토 반려. Step 2: item shows 검토 반려. Step 3: dialog shows 담당자 의견 with exactly the feedback text. Step 4: dialog closes; item 디자인 파일 제출 완료 (activity SA, event artwork-updated). Step 5: the drawer offers Re-Evaluate.</t>
        </is>
      </c>
      <c r="L149" s="13" t="inlineStr">
        <is>
          <t>Planned</t>
        </is>
      </c>
      <c r="M149" s="25" t="inlineStr">
        <is>
          <t>Dev only</t>
        </is>
      </c>
      <c r="N149" s="25" t="inlineStr">
        <is>
          <t>RUN_ADMIN_DESTRUCTIVE_E2E=true + saved admin session</t>
        </is>
      </c>
      <c r="O149" s="25" t="inlineStr">
        <is>
          <t>-</t>
        </is>
      </c>
      <c r="P149" s="25" t="inlineStr">
        <is>
          <t>-</t>
        </is>
      </c>
      <c r="Q149" s="25" t="inlineStr">
        <is>
          <t>-</t>
        </is>
      </c>
      <c r="R149" s="13" t="n">
        <v>0</v>
      </c>
      <c r="S149" s="25" t="inlineStr">
        <is>
          <t>Partly covered inside MS-ADMO-001; this case isolates the rejection loop for quicker regression. Emails the member.</t>
        </is>
      </c>
      <c r="T149" s="14" t="inlineStr">
        <is>
          <t>Not Run</t>
        </is>
      </c>
      <c r="U149" s="15" t="n"/>
      <c r="V149" s="15" t="n"/>
      <c r="W149" s="15" t="n"/>
      <c r="X149" s="15" t="n"/>
      <c r="Y149" s="25" t="inlineStr">
        <is>
          <t>MS-ADM-009</t>
        </is>
      </c>
    </row>
    <row r="150" ht="150" customHeight="1">
      <c r="A150" s="12" t="inlineStr">
        <is>
          <t>MS-ADMO-005</t>
        </is>
      </c>
      <c r="B150" s="25" t="inlineStr">
        <is>
          <t>Admin</t>
        </is>
      </c>
      <c r="C150" s="25" t="inlineStr">
        <is>
          <t>14. Admin - order processing</t>
        </is>
      </c>
      <c r="D150" s="25" t="inlineStr">
        <is>
          <t>Final proof</t>
        </is>
      </c>
      <c r="E150" s="25" t="inlineStr">
        <is>
          <t>Send Final Proof accepts only a transparent-background .png and requires a proofing message.</t>
        </is>
      </c>
      <c r="F150" s="13" t="inlineStr">
        <is>
          <t>High</t>
        </is>
      </c>
      <c r="G150" s="25" t="inlineStr">
        <is>
          <t>Validation</t>
        </is>
      </c>
      <c r="H150" s="25" t="inlineStr">
        <is>
          <t>Admin panel static-1 (https://dev-static-1-admin-panel.musticker.com) signed in with a staff account. Test order item at 검토 승인.</t>
        </is>
      </c>
      <c r="I150" s="25" t="inlineStr">
        <is>
          <t>Files: qa-proof.png (transparent .png), a .jpg, a .png with an opaque background. Message "QA proof".</t>
        </is>
      </c>
      <c r="J150" s="25" t="inlineStr">
        <is>
          <t xml:space="preserve">1. Open the item drawer (Send Final Proof form visible).
2. Try to attach the .jpg.
3. Try to attach the opaque-background .png.
4. Attach qa-proof.png, leave the message empty and click Send Final Proof.
5. Enter the message and click Send Final Proof.</t>
        </is>
      </c>
      <c r="K150" s="25" t="inlineStr">
        <is>
          <t>Steps 2-3: the file is rejected with a message; nothing is sent. Step 4: sending is refused because the message is required. Step 5: "Final proof sent successfully."; item 승인 대기 (NA).</t>
        </is>
      </c>
      <c r="L150" s="13" t="inlineStr">
        <is>
          <t>Planned</t>
        </is>
      </c>
      <c r="M150" s="25" t="inlineStr">
        <is>
          <t>Dev only</t>
        </is>
      </c>
      <c r="N150" s="25" t="inlineStr">
        <is>
          <t>RUN_ADMIN_DESTRUCTIVE_E2E=true + saved admin session</t>
        </is>
      </c>
      <c r="O150" s="25" t="inlineStr">
        <is>
          <t>-</t>
        </is>
      </c>
      <c r="P150" s="25" t="inlineStr">
        <is>
          <t>-</t>
        </is>
      </c>
      <c r="Q150" s="25" t="inlineStr">
        <is>
          <t>-</t>
        </is>
      </c>
      <c r="R150" s="13" t="n">
        <v>0</v>
      </c>
      <c r="S150" s="25" t="inlineStr">
        <is>
          <t>Exact rejection copy for wrong file types not yet recorded; capture it when automating.</t>
        </is>
      </c>
      <c r="T150" s="14" t="inlineStr">
        <is>
          <t>Not Run</t>
        </is>
      </c>
      <c r="U150" s="15" t="n"/>
      <c r="V150" s="15" t="n"/>
      <c r="W150" s="15" t="n"/>
      <c r="X150" s="15" t="n"/>
      <c r="Y150" s="25" t="inlineStr">
        <is>
          <t>MS-ADM-010</t>
        </is>
      </c>
    </row>
    <row r="151" ht="150" customHeight="1">
      <c r="A151" s="12" t="inlineStr">
        <is>
          <t>MS-ADMO-006</t>
        </is>
      </c>
      <c r="B151" s="25" t="inlineStr">
        <is>
          <t>Storefront + Admin</t>
        </is>
      </c>
      <c r="C151" s="25" t="inlineStr">
        <is>
          <t>14. Admin - order processing</t>
        </is>
      </c>
      <c r="D151" s="25" t="inlineStr">
        <is>
          <t>Final proof</t>
        </is>
      </c>
      <c r="E151" s="25" t="inlineStr">
        <is>
          <t>After a final proof is sent the customer can open it from 최종 시안 확인 in the 디자인 상세 모달, which offers 수정 요청 and 승인.</t>
        </is>
      </c>
      <c r="F151" s="13" t="inlineStr">
        <is>
          <t>High</t>
        </is>
      </c>
      <c r="G151" s="25" t="inlineStr">
        <is>
          <t>UI</t>
        </is>
      </c>
      <c r="H151" s="25" t="inlineStr">
        <is>
          <t>Admin panel static-1 (https://dev-static-1-admin-panel.musticker.com) signed in with a staff account. Seeded member signed in on the storefront; test order item at 승인 대기.</t>
        </is>
      </c>
      <c r="I151" s="25" t="inlineStr">
        <is>
          <t>Proof file name qa-proof.png.</t>
        </is>
      </c>
      <c r="J151" s="25" t="inlineStr">
        <is>
          <t xml:space="preserve">1. Storefront: open the order; check the item status.
2. Click 최종 시안 확인.
3. Inspect the 디자인 상세 모달.
4. Close the modal without acting.</t>
        </is>
      </c>
      <c r="K151" s="25" t="inlineStr">
        <is>
          <t>Step 1: item 승인 대기 with a 최종 시안 확인 button. Step 3: the modal shows the proof image (qa-proof.png) and both 수정 요청 and 승인 buttons. Step 4: status unchanged.</t>
        </is>
      </c>
      <c r="L151" s="13" t="inlineStr">
        <is>
          <t>Planned</t>
        </is>
      </c>
      <c r="M151" s="25" t="inlineStr">
        <is>
          <t>Dev only</t>
        </is>
      </c>
      <c r="N151" s="25" t="inlineStr">
        <is>
          <t>RUN_ADMIN_DESTRUCTIVE_E2E=true + saved admin session</t>
        </is>
      </c>
      <c r="O151" s="25" t="inlineStr">
        <is>
          <t>-</t>
        </is>
      </c>
      <c r="P151" s="25" t="inlineStr">
        <is>
          <t>-</t>
        </is>
      </c>
      <c r="Q151" s="25" t="inlineStr">
        <is>
          <t>-</t>
        </is>
      </c>
      <c r="R151" s="13" t="n">
        <v>0</v>
      </c>
      <c r="S151" s="25" t="inlineStr">
        <is>
          <t>What 수정 요청 does after submission was not verified on 2026-09-25; add a follow-up case once product confirms the flow.</t>
        </is>
      </c>
      <c r="T151" s="14" t="inlineStr">
        <is>
          <t>Not Run</t>
        </is>
      </c>
      <c r="U151" s="15" t="n"/>
      <c r="V151" s="15" t="n"/>
      <c r="W151" s="15" t="n"/>
      <c r="X151" s="15" t="n"/>
      <c r="Y151" s="25" t="inlineStr">
        <is>
          <t>MS-ADM-011</t>
        </is>
      </c>
    </row>
    <row r="152" ht="150" customHeight="1">
      <c r="A152" s="12" t="inlineStr">
        <is>
          <t>MS-ADMO-007</t>
        </is>
      </c>
      <c r="B152" s="25" t="inlineStr">
        <is>
          <t>Storefront + Admin</t>
        </is>
      </c>
      <c r="C152" s="25" t="inlineStr">
        <is>
          <t>14. Admin - order processing</t>
        </is>
      </c>
      <c r="D152" s="25" t="inlineStr">
        <is>
          <t>Final proof</t>
        </is>
      </c>
      <c r="E152" s="25" t="inlineStr">
        <is>
          <t>While a proof awaits approval, the drawer "..." menu offers Update Final Proof and Send Reminder.</t>
        </is>
      </c>
      <c r="F152" s="13" t="inlineStr">
        <is>
          <t>Medium</t>
        </is>
      </c>
      <c r="G152" s="25" t="inlineStr">
        <is>
          <t>Functional</t>
        </is>
      </c>
      <c r="H152" s="25" t="inlineStr">
        <is>
          <t>Admin panel static-1 (https://dev-static-1-admin-panel.musticker.com) signed in with a staff account. Test order item at 승인 대기.</t>
        </is>
      </c>
      <c r="I152" s="25" t="inlineStr">
        <is>
          <t>Replacement transparent .png; seeded member mailbox.</t>
        </is>
      </c>
      <c r="J152" s="25" t="inlineStr">
        <is>
          <t xml:space="preserve">1. Open the item drawer and open the "..." menu.
2. Choose Update Final Proof, attach the replacement .png with a message and send.
3. Storefront: open 최종 시안 확인.
4. Admin: "..." -&gt; Send Reminder.
5. Check the member mailbox and the item status.</t>
        </is>
      </c>
      <c r="K152" s="25" t="inlineStr">
        <is>
          <t>Step 1: menu lists Update Final Proof and Send Reminder. Step 2-3: the customer sees the replacement proof; item stays 승인 대기. Step 4-5: a reminder email reaches the member; item stays 승인 대기.</t>
        </is>
      </c>
      <c r="L152" s="13" t="inlineStr">
        <is>
          <t>Planned</t>
        </is>
      </c>
      <c r="M152" s="25" t="inlineStr">
        <is>
          <t>Dev only</t>
        </is>
      </c>
      <c r="N152" s="25" t="inlineStr">
        <is>
          <t>RUN_ADMIN_DESTRUCTIVE_E2E=true + saved admin session</t>
        </is>
      </c>
      <c r="O152" s="25" t="inlineStr">
        <is>
          <t>-</t>
        </is>
      </c>
      <c r="P152" s="25" t="inlineStr">
        <is>
          <t>-</t>
        </is>
      </c>
      <c r="Q152" s="25" t="inlineStr">
        <is>
          <t>-</t>
        </is>
      </c>
      <c r="R152" s="13" t="n">
        <v>0</v>
      </c>
      <c r="S152" s="25" t="inlineStr">
        <is>
          <t>Emails the member.</t>
        </is>
      </c>
      <c r="T152" s="14" t="inlineStr">
        <is>
          <t>Not Run</t>
        </is>
      </c>
      <c r="U152" s="15" t="n"/>
      <c r="V152" s="15" t="n"/>
      <c r="W152" s="15" t="n"/>
      <c r="X152" s="15" t="n"/>
      <c r="Y152" s="25" t="inlineStr">
        <is>
          <t>MS-ADM-012</t>
        </is>
      </c>
    </row>
    <row r="153" ht="150" customHeight="1">
      <c r="A153" s="12" t="inlineStr">
        <is>
          <t>MS-ADMO-008</t>
        </is>
      </c>
      <c r="B153" s="25" t="inlineStr">
        <is>
          <t>Storefront + Admin</t>
        </is>
      </c>
      <c r="C153" s="25" t="inlineStr">
        <is>
          <t>14. Admin - order processing</t>
        </is>
      </c>
      <c r="D153" s="25" t="inlineStr">
        <is>
          <t>Final proof</t>
        </is>
      </c>
      <c r="E153" s="25" t="inlineStr">
        <is>
          <t>Staff can approve the proof on the customer's behalf after confirming "Yes, Approve Proof".</t>
        </is>
      </c>
      <c r="F153" s="13" t="inlineStr">
        <is>
          <t>High</t>
        </is>
      </c>
      <c r="G153" s="25" t="inlineStr">
        <is>
          <t>State transition</t>
        </is>
      </c>
      <c r="H153" s="25" t="inlineStr">
        <is>
          <t>Admin panel static-1 (https://dev-static-1-admin-panel.musticker.com) signed in with a staff account. Test order item at 승인 대기.</t>
        </is>
      </c>
      <c r="I153" s="25" t="inlineStr">
        <is>
          <t>-</t>
        </is>
      </c>
      <c r="J153" s="25" t="inlineStr">
        <is>
          <t xml:space="preserve">1. Open the item drawer and click Approve Proof.
2. Read the confirmation dialog and click Yes, Approve Proof.
3. Check the item status in the admin panel and on the storefront.
4. Read the activity log entry.</t>
        </is>
      </c>
      <c r="K153" s="25" t="inlineStr">
        <is>
          <t>Step 2: a confirmation is required before anything changes. Step 3: item 최종 승인 완료 (A-FPA) in both apps; the storefront no longer asks the customer to approve. Step 4: the entry is attributed to the staff user (is_admin=true).</t>
        </is>
      </c>
      <c r="L153" s="13" t="inlineStr">
        <is>
          <t>Planned</t>
        </is>
      </c>
      <c r="M153" s="25" t="inlineStr">
        <is>
          <t>Dev only</t>
        </is>
      </c>
      <c r="N153" s="25" t="inlineStr">
        <is>
          <t>RUN_ADMIN_DESTRUCTIVE_E2E=true + saved admin session</t>
        </is>
      </c>
      <c r="O153" s="25" t="inlineStr">
        <is>
          <t>-</t>
        </is>
      </c>
      <c r="P153" s="25" t="inlineStr">
        <is>
          <t>-</t>
        </is>
      </c>
      <c r="Q153" s="25" t="inlineStr">
        <is>
          <t>-</t>
        </is>
      </c>
      <c r="R153" s="13" t="n">
        <v>0</v>
      </c>
      <c r="S153" s="25" t="inlineStr">
        <is>
          <t>Known defect 2026-09-25: the activity log records staff actions (Mark as Printing, tracking add/send/update; re-confirmed 2026-10-14) as the customer (user.is_admin=false). Verify attribution for this action specifically; the order header should stay 제작 전 until staff Mark as Printing.</t>
        </is>
      </c>
      <c r="T153" s="14" t="inlineStr">
        <is>
          <t>Not Run</t>
        </is>
      </c>
      <c r="U153" s="15" t="n"/>
      <c r="V153" s="15" t="n"/>
      <c r="W153" s="15" t="n"/>
      <c r="X153" s="15" t="n"/>
      <c r="Y153" s="25" t="inlineStr">
        <is>
          <t>MS-ADM-013</t>
        </is>
      </c>
    </row>
    <row r="154" ht="150" customHeight="1">
      <c r="A154" s="12" t="inlineStr">
        <is>
          <t>MS-ADMO-009</t>
        </is>
      </c>
      <c r="B154" s="25" t="inlineStr">
        <is>
          <t>Storefront + Admin</t>
        </is>
      </c>
      <c r="C154" s="25" t="inlineStr">
        <is>
          <t>14. Admin - order processing</t>
        </is>
      </c>
      <c r="D154" s="25" t="inlineStr">
        <is>
          <t>Final proof</t>
        </is>
      </c>
      <c r="E154" s="25" t="inlineStr">
        <is>
          <t>After a proof is approved, Undo Approval returns the item to awaiting approval.</t>
        </is>
      </c>
      <c r="F154" s="13" t="inlineStr">
        <is>
          <t>Medium</t>
        </is>
      </c>
      <c r="G154" s="25" t="inlineStr">
        <is>
          <t>State transition</t>
        </is>
      </c>
      <c r="H154" s="25" t="inlineStr">
        <is>
          <t>Admin panel static-1 (https://dev-static-1-admin-panel.musticker.com) signed in with a staff account. Test order item at 최종 승인 완료, order still 제작 전.</t>
        </is>
      </c>
      <c r="I154" s="25" t="inlineStr">
        <is>
          <t>-</t>
        </is>
      </c>
      <c r="J154" s="25" t="inlineStr">
        <is>
          <t xml:space="preserve">1. Open the item drawer and click Undo Approval (confirm if asked).
2. Check the item status in the admin panel.
3. Storefront: open the order.</t>
        </is>
      </c>
      <c r="K154" s="25" t="inlineStr">
        <is>
          <t>Item returns to 승인 대기 in both apps and the customer again sees 최종 시안 확인; the order stays 제작 전.</t>
        </is>
      </c>
      <c r="L154" s="13" t="inlineStr">
        <is>
          <t>Planned</t>
        </is>
      </c>
      <c r="M154" s="25" t="inlineStr">
        <is>
          <t>Dev only</t>
        </is>
      </c>
      <c r="N154" s="25" t="inlineStr">
        <is>
          <t>RUN_ADMIN_DESTRUCTIVE_E2E=true + saved admin session</t>
        </is>
      </c>
      <c r="O154" s="25" t="inlineStr">
        <is>
          <t>-</t>
        </is>
      </c>
      <c r="P154" s="25" t="inlineStr">
        <is>
          <t>-</t>
        </is>
      </c>
      <c r="Q154" s="25" t="inlineStr">
        <is>
          <t>-</t>
        </is>
      </c>
      <c r="R154" s="13" t="n">
        <v>0</v>
      </c>
      <c r="S154" s="25" t="inlineStr">
        <is>
          <t>Behaviour of Undo Approval after Mark as Printing not verified; do not run it on an order already in production.</t>
        </is>
      </c>
      <c r="T154" s="14" t="inlineStr">
        <is>
          <t>Not Run</t>
        </is>
      </c>
      <c r="U154" s="15" t="n"/>
      <c r="V154" s="15" t="n"/>
      <c r="W154" s="15" t="n"/>
      <c r="X154" s="15" t="n"/>
      <c r="Y154" s="25" t="inlineStr">
        <is>
          <t>MS-ADM-014</t>
        </is>
      </c>
    </row>
    <row r="155" ht="150" customHeight="1">
      <c r="A155" s="12" t="inlineStr">
        <is>
          <t>MS-ADMO-010</t>
        </is>
      </c>
      <c r="B155" s="25" t="inlineStr">
        <is>
          <t>Storefront + Admin</t>
        </is>
      </c>
      <c r="C155" s="25" t="inlineStr">
        <is>
          <t>14. Admin - order processing</t>
        </is>
      </c>
      <c r="D155" s="25" t="inlineStr">
        <is>
          <t>Final proof</t>
        </is>
      </c>
      <c r="E155" s="25" t="inlineStr">
        <is>
          <t>Customer approval through 승인, the acknowledgement tick and 최종 시안 승인 moves the item to 최종 승인 완료 while the order stays 제작 전.</t>
        </is>
      </c>
      <c r="F155" s="13" t="inlineStr">
        <is>
          <t>High</t>
        </is>
      </c>
      <c r="G155" s="25" t="inlineStr">
        <is>
          <t>State transition</t>
        </is>
      </c>
      <c r="H155" s="25" t="inlineStr">
        <is>
          <t>Admin panel static-1 (https://dev-static-1-admin-panel.musticker.com) signed in with a staff account. Seeded member signed in on the storefront; test order item at 승인 대기.</t>
        </is>
      </c>
      <c r="I155" s="25" t="inlineStr">
        <is>
          <t>-</t>
        </is>
      </c>
      <c r="J155" s="25" t="inlineStr">
        <is>
          <t xml:space="preserve">1. Storefront: 최종 시안 확인 -&gt; 승인.
2. Read the confirm dialog "최종 시안을 승인하시겠습니까?" and try 최종 시안 승인.
3. Tick 시안 안내사항을 확인했으며 내용을 이해했습니다. and click 최종 시안 승인.
4. Check item and order status on the storefront and in the admin panel.</t>
        </is>
      </c>
      <c r="K155" s="25" t="inlineStr">
        <is>
          <t>Step 2: the dialog says approval moves the order to 제작 대기; 최종 시안 승인 is disabled until the tick. Step 4: item 최종 승인 완료 (A-FPA), attributed to the customer (is_admin=false); the order stays 제작 전 until staff Mark as Printing.</t>
        </is>
      </c>
      <c r="L155" s="13" t="inlineStr">
        <is>
          <t>Planned</t>
        </is>
      </c>
      <c r="M155" s="25" t="inlineStr">
        <is>
          <t>Dev only</t>
        </is>
      </c>
      <c r="N155" s="25" t="inlineStr">
        <is>
          <t>RUN_ADMIN_DESTRUCTIVE_E2E=true + saved admin session</t>
        </is>
      </c>
      <c r="O155" s="25" t="inlineStr">
        <is>
          <t>-</t>
        </is>
      </c>
      <c r="P155" s="25" t="inlineStr">
        <is>
          <t>-</t>
        </is>
      </c>
      <c r="Q155" s="25" t="inlineStr">
        <is>
          <t>-</t>
        </is>
      </c>
      <c r="R155" s="13" t="n">
        <v>0</v>
      </c>
      <c r="S155" s="25" t="inlineStr">
        <is>
          <t>MUS-QA-004 fixed by 2026-10-14: the popup used to promise '제작 진행'; it now says 제작 대기, matching the behaviour. Covered end to end by MS-ADMO-001 step 8. After approval the customer sees a cancellation notice citing a payment adjustment (MUS-QA-011).</t>
        </is>
      </c>
      <c r="T155" s="14" t="inlineStr">
        <is>
          <t>Not Run</t>
        </is>
      </c>
      <c r="U155" s="15" t="n"/>
      <c r="V155" s="15" t="n"/>
      <c r="W155" s="15" t="n"/>
      <c r="X155" s="15" t="n"/>
      <c r="Y155" s="25" t="inlineStr">
        <is>
          <t>MS-ADM-015</t>
        </is>
      </c>
    </row>
    <row r="156" ht="150" customHeight="1">
      <c r="A156" s="12" t="inlineStr">
        <is>
          <t>MS-ADMO-011</t>
        </is>
      </c>
      <c r="B156" s="25" t="inlineStr">
        <is>
          <t>Storefront + Admin</t>
        </is>
      </c>
      <c r="C156" s="25" t="inlineStr">
        <is>
          <t>14. Admin - order processing</t>
        </is>
      </c>
      <c r="D156" s="25" t="inlineStr">
        <is>
          <t>Production and shipping</t>
        </is>
      </c>
      <c r="E156" s="25" t="inlineStr">
        <is>
          <t>Withdrawn: Move to Production moves an approved order to 제작 진행 중 and its item to 주문 준비 중.</t>
        </is>
      </c>
      <c r="F156" s="13" t="inlineStr">
        <is>
          <t>Critical</t>
        </is>
      </c>
      <c r="G156" s="25" t="inlineStr">
        <is>
          <t>State transition</t>
        </is>
      </c>
      <c r="H156" s="25" t="inlineStr">
        <is>
          <t>Admin panel static-1 (https://dev-static-1-admin-panel.musticker.com) signed in with a staff account. Test order in 제작 전, item at 승인 완료 - 제작 승인 대기, payment verified, no pending refund.</t>
        </is>
      </c>
      <c r="I156" s="25" t="inlineStr">
        <is>
          <t>-</t>
        </is>
      </c>
      <c r="J156" s="25" t="inlineStr">
        <is>
          <t xml:space="preserve">1. Open the order; the header primary action reads Move to Production.
2. Click it and confirm Yes, Move to Production.
3. Check header status, item status, the orders tab it is listed under and the storefront.
4. Read the activity log.</t>
        </is>
      </c>
      <c r="K156" s="25" t="inlineStr">
        <is>
          <t>Order 제작 진행 중 (FP), listed under the 제작 진행 중 tab; item 주문 준비 중 (PO); header action becomes Mark as Printing; storefront shows the new status; the log entry is attributed to staff.</t>
        </is>
      </c>
      <c r="L156" s="13" t="inlineStr">
        <is>
          <t>Withdrawn</t>
        </is>
      </c>
      <c r="M156" s="25" t="inlineStr">
        <is>
          <t>Dev only</t>
        </is>
      </c>
      <c r="N156" s="25" t="inlineStr">
        <is>
          <t>RUN_ADMIN_DESTRUCTIVE_E2E=true + saved admin session</t>
        </is>
      </c>
      <c r="O156" s="25" t="inlineStr">
        <is>
          <t>-</t>
        </is>
      </c>
      <c r="P156" s="25" t="inlineStr">
        <is>
          <t>-</t>
        </is>
      </c>
      <c r="Q156" s="25" t="inlineStr">
        <is>
          <t>-</t>
        </is>
      </c>
      <c r="R156" s="13" t="n">
        <v>0</v>
      </c>
      <c r="S156" s="25" t="inlineStr">
        <is>
          <t>withdrawn 2026-10-14: Move to Production no longer exists on static-1. Mark as Printing (MS-ADMO-012) is now the first staff action after approval and moves the order to 제작 진행 중 itself; the 주문 준비 중 (PO) stage is no longer reached. Keep the ID; do not reuse it.</t>
        </is>
      </c>
      <c r="T156" s="14" t="inlineStr">
        <is>
          <t>N/A</t>
        </is>
      </c>
      <c r="U156" s="15" t="n"/>
      <c r="V156" s="15" t="n"/>
      <c r="W156" s="15" t="n"/>
      <c r="X156" s="15" t="n"/>
      <c r="Y156" s="25" t="inlineStr">
        <is>
          <t>MS-ADM-016</t>
        </is>
      </c>
    </row>
    <row r="157" ht="150" customHeight="1">
      <c r="A157" s="12" t="inlineStr">
        <is>
          <t>MS-ADMO-012</t>
        </is>
      </c>
      <c r="B157" s="25" t="inlineStr">
        <is>
          <t>Admin</t>
        </is>
      </c>
      <c r="C157" s="25" t="inlineStr">
        <is>
          <t>14. Admin - order processing</t>
        </is>
      </c>
      <c r="D157" s="25" t="inlineStr">
        <is>
          <t>Production and shipping</t>
        </is>
      </c>
      <c r="E157" s="25" t="inlineStr">
        <is>
          <t>Mark as Printing on an approved order moves it to 제작 진행 중 and the item to 인쇄 진행 중 after a warning that no further changes can be made, and the order is locked for editing.</t>
        </is>
      </c>
      <c r="F157" s="13" t="inlineStr">
        <is>
          <t>High</t>
        </is>
      </c>
      <c r="G157" s="25" t="inlineStr">
        <is>
          <t>State transition</t>
        </is>
      </c>
      <c r="H157" s="25" t="inlineStr">
        <is>
          <t>Admin panel static-1 (https://dev-static-1-admin-panel.musticker.com) signed in with a staff account. Test order in 제작 전, item 최종 승인 완료.</t>
        </is>
      </c>
      <c r="I157" s="25" t="inlineStr">
        <is>
          <t>-</t>
        </is>
      </c>
      <c r="J157" s="25" t="inlineStr">
        <is>
          <t xml:space="preserve">1. Click Mark as Printing and read the dialog.
2. Confirm Yes, Mark as Printing.
3. Check the item status.
4. Look for Add Item and the item edit icon.</t>
        </is>
      </c>
      <c r="K157" s="25" t="inlineStr">
        <is>
          <t>Step 1: the dialog warns that no further changes can be made. Step 3: order 제작 진행 중 (FP), item 인쇄 진행 중 (P); header action becomes Add Tracking Number. Step 4: Add Item and item edit are no longer offered.</t>
        </is>
      </c>
      <c r="L157" s="13" t="inlineStr">
        <is>
          <t>Planned</t>
        </is>
      </c>
      <c r="M157" s="25" t="inlineStr">
        <is>
          <t>Dev only</t>
        </is>
      </c>
      <c r="N157" s="25" t="inlineStr">
        <is>
          <t>RUN_ADMIN_DESTRUCTIVE_E2E=true + saved admin session</t>
        </is>
      </c>
      <c r="O157" s="25" t="inlineStr">
        <is>
          <t>-</t>
        </is>
      </c>
      <c r="P157" s="25" t="inlineStr">
        <is>
          <t>-</t>
        </is>
      </c>
      <c r="Q157" s="25" t="inlineStr">
        <is>
          <t>-</t>
        </is>
      </c>
      <c r="R157" s="13" t="n">
        <v>0</v>
      </c>
      <c r="S157" s="25" t="inlineStr">
        <is>
          <t>Known defect 2026-09-25: Add Item and item edit are still offered after Mark as Printing and on completed orders. Known defect 2026-09-25: the activity log records staff actions (Mark as Printing, tracking add/send/update; re-confirmed 2026-10-14) as the customer (user.is_admin=false).</t>
        </is>
      </c>
      <c r="T157" s="14" t="inlineStr">
        <is>
          <t>Not Run</t>
        </is>
      </c>
      <c r="U157" s="15" t="n"/>
      <c r="V157" s="15" t="n"/>
      <c r="W157" s="15" t="n"/>
      <c r="X157" s="15" t="n"/>
      <c r="Y157" s="25" t="inlineStr">
        <is>
          <t>MS-ADM-017</t>
        </is>
      </c>
    </row>
    <row r="158" ht="150" customHeight="1">
      <c r="A158" s="12" t="inlineStr">
        <is>
          <t>MS-ADMO-013</t>
        </is>
      </c>
      <c r="B158" s="25" t="inlineStr">
        <is>
          <t>Admin</t>
        </is>
      </c>
      <c r="C158" s="25" t="inlineStr">
        <is>
          <t>14. Admin - order processing</t>
        </is>
      </c>
      <c r="D158" s="25" t="inlineStr">
        <is>
          <t>Production and shipping</t>
        </is>
      </c>
      <c r="E158" s="25" t="inlineStr">
        <is>
          <t>Adding a tracking number reformats it into 4-4-4-4 groups and moves the order to 배송 중 with the item 출고 준비 완료.</t>
        </is>
      </c>
      <c r="F158" s="13" t="inlineStr">
        <is>
          <t>High</t>
        </is>
      </c>
      <c r="G158" s="25" t="inlineStr">
        <is>
          <t>Validation</t>
        </is>
      </c>
      <c r="H158" s="25" t="inlineStr">
        <is>
          <t>Admin panel static-1 (https://dev-static-1-admin-panel.musticker.com) signed in with a staff account. Test order with item at 인쇄 진행 중.</t>
        </is>
      </c>
      <c r="I158" s="25" t="inlineStr">
        <is>
          <t>Tracking "QA-TEST-2609250008" (dashes typed) and a clean 16-character value "QATE" + 12 digits.</t>
        </is>
      </c>
      <c r="J158" s="25" t="inlineStr">
        <is>
          <t xml:space="preserve">1. Click Add Tracking Number; note the courier preselected from the shipping method.
2. Type QA-TEST-2609250008 in the number field and observe the display.
3. Click Add Tracking, then Close.
4. Check the order and item status and the tracking card.</t>
        </is>
      </c>
      <c r="K158" s="25" t="inlineStr">
        <is>
          <t>Step 2: the input reformats to four groups of four (QATE-ST26-0925-0008) and stores QATEST2609250008. Step 3: "Tracking number added successfully.". Step 4: order 배송 중 (SP), item 출고 준비 완료 (RS), tracking card shows the number with Send / Update / Track.</t>
        </is>
      </c>
      <c r="L158" s="13" t="inlineStr">
        <is>
          <t>Planned</t>
        </is>
      </c>
      <c r="M158" s="25" t="inlineStr">
        <is>
          <t>Dev only</t>
        </is>
      </c>
      <c r="N158" s="25" t="inlineStr">
        <is>
          <t>RUN_ADMIN_DESTRUCTIVE_E2E=true + saved admin session</t>
        </is>
      </c>
      <c r="O158" s="25" t="inlineStr">
        <is>
          <t>-</t>
        </is>
      </c>
      <c r="P158" s="25" t="inlineStr">
        <is>
          <t>-</t>
        </is>
      </c>
      <c r="Q158" s="25" t="inlineStr">
        <is>
          <t>-</t>
        </is>
      </c>
      <c r="R158" s="13" t="n">
        <v>0</v>
      </c>
      <c r="S158" s="25" t="inlineStr">
        <is>
          <t>Known defect 2026-09-25: the activity log records staff actions (Mark as Printing, tracking add/send/update; re-confirmed 2026-10-14) as the customer (user.is_admin=false). Behaviour for numbers longer or shorter than 16 characters not verified.</t>
        </is>
      </c>
      <c r="T158" s="14" t="inlineStr">
        <is>
          <t>Not Run</t>
        </is>
      </c>
      <c r="U158" s="15" t="n"/>
      <c r="V158" s="15" t="n"/>
      <c r="W158" s="15" t="n"/>
      <c r="X158" s="15" t="n"/>
      <c r="Y158" s="25" t="inlineStr">
        <is>
          <t>MS-ADM-018</t>
        </is>
      </c>
    </row>
    <row r="159" ht="150" customHeight="1">
      <c r="A159" s="12" t="inlineStr">
        <is>
          <t>MS-ADMO-014</t>
        </is>
      </c>
      <c r="B159" s="25" t="inlineStr">
        <is>
          <t>Storefront + Admin</t>
        </is>
      </c>
      <c r="C159" s="25" t="inlineStr">
        <is>
          <t>14. Admin - order processing</t>
        </is>
      </c>
      <c r="D159" s="25" t="inlineStr">
        <is>
          <t>Production and shipping</t>
        </is>
      </c>
      <c r="E159" s="25" t="inlineStr">
        <is>
          <t>Sending the tracking details emails the customer and moves the item to 배송 중.</t>
        </is>
      </c>
      <c r="F159" s="13" t="inlineStr">
        <is>
          <t>High</t>
        </is>
      </c>
      <c r="G159" s="25" t="inlineStr">
        <is>
          <t>State transition</t>
        </is>
      </c>
      <c r="H159" s="25" t="inlineStr">
        <is>
          <t>Admin panel static-1 (https://dev-static-1-admin-panel.musticker.com) signed in with a staff account. Test order in 배송 중 with a tracking number added, item 출고 준비 완료; access to the member mailbox.</t>
        </is>
      </c>
      <c r="I159" s="25" t="inlineStr">
        <is>
          <t>-</t>
        </is>
      </c>
      <c r="J159" s="25" t="inlineStr">
        <is>
          <t xml:space="preserve">1. On the tracking card click Send.
2. Confirm Yes, Send Tracking.
3. Check the item status and the member mailbox.</t>
        </is>
      </c>
      <c r="K159" s="25" t="inlineStr">
        <is>
          <t>"Tracking details sent successfully."; item 배송 중 (OD); the customer receives an email with the tracking number.</t>
        </is>
      </c>
      <c r="L159" s="13" t="inlineStr">
        <is>
          <t>Planned</t>
        </is>
      </c>
      <c r="M159" s="25" t="inlineStr">
        <is>
          <t>Dev only</t>
        </is>
      </c>
      <c r="N159" s="25" t="inlineStr">
        <is>
          <t>RUN_ADMIN_DESTRUCTIVE_E2E=true + saved admin session</t>
        </is>
      </c>
      <c r="O159" s="25" t="inlineStr">
        <is>
          <t>-</t>
        </is>
      </c>
      <c r="P159" s="25" t="inlineStr">
        <is>
          <t>-</t>
        </is>
      </c>
      <c r="Q159" s="25" t="inlineStr">
        <is>
          <t>-</t>
        </is>
      </c>
      <c r="R159" s="13" t="n">
        <v>0</v>
      </c>
      <c r="S159" s="25" t="inlineStr">
        <is>
          <t>Known defect 2026-09-25: the activity log records staff actions (Mark as Printing, tracking add/send/update; re-confirmed 2026-10-14) as the customer (user.is_admin=false). Emails the member.</t>
        </is>
      </c>
      <c r="T159" s="14" t="inlineStr">
        <is>
          <t>Not Run</t>
        </is>
      </c>
      <c r="U159" s="15" t="n"/>
      <c r="V159" s="15" t="n"/>
      <c r="W159" s="15" t="n"/>
      <c r="X159" s="15" t="n"/>
      <c r="Y159" s="25" t="inlineStr">
        <is>
          <t>MS-ADM-019</t>
        </is>
      </c>
    </row>
    <row r="160" ht="150" customHeight="1">
      <c r="A160" s="12" t="inlineStr">
        <is>
          <t>MS-ADMO-015</t>
        </is>
      </c>
      <c r="B160" s="25" t="inlineStr">
        <is>
          <t>Storefront + Admin</t>
        </is>
      </c>
      <c r="C160" s="25" t="inlineStr">
        <is>
          <t>14. Admin - order processing</t>
        </is>
      </c>
      <c r="D160" s="25" t="inlineStr">
        <is>
          <t>Production and shipping</t>
        </is>
      </c>
      <c r="E160" s="25" t="inlineStr">
        <is>
          <t>Updating the tracking status with the delivery date marks the item 배송 완료 and the order 주문 완료, and the customer sees the tracking link.</t>
        </is>
      </c>
      <c r="F160" s="13" t="inlineStr">
        <is>
          <t>Critical</t>
        </is>
      </c>
      <c r="G160" s="25" t="inlineStr">
        <is>
          <t>E2E</t>
        </is>
      </c>
      <c r="H160" s="25" t="inlineStr">
        <is>
          <t>Admin panel static-1 (https://dev-static-1-admin-panel.musticker.com) signed in with a staff account. Test order with tracking sent, item 배송 중; seeded member signed in on the storefront.</t>
        </is>
      </c>
      <c r="I160" s="25" t="inlineStr">
        <is>
          <t>Delivery date = today (date picker default).</t>
        </is>
      </c>
      <c r="J160" s="25" t="inlineStr">
        <is>
          <t xml:space="preserve">1. On the tracking card click Update.
2. Keep today in the date picker and click Update Status.
3. Check the order tab and statuses.
4. Storefront: open the order.</t>
        </is>
      </c>
      <c r="K160" s="25" t="inlineStr">
        <is>
          <t>Order 주문 완료 (CP), listed under 주문 완료; item 배송 완료 (DE); tracking status completed. Storefront: order 주문 완료, item 배송 완료, 배송 조회 section with link "운송장 번호: &lt;number&gt;".</t>
        </is>
      </c>
      <c r="L160" s="13" t="inlineStr">
        <is>
          <t>Planned</t>
        </is>
      </c>
      <c r="M160" s="25" t="inlineStr">
        <is>
          <t>Dev only</t>
        </is>
      </c>
      <c r="N160" s="25" t="inlineStr">
        <is>
          <t>RUN_ADMIN_DESTRUCTIVE_E2E=true + saved admin session</t>
        </is>
      </c>
      <c r="O160" s="25" t="inlineStr">
        <is>
          <t>-</t>
        </is>
      </c>
      <c r="P160" s="25" t="inlineStr">
        <is>
          <t>-</t>
        </is>
      </c>
      <c r="Q160" s="25" t="inlineStr">
        <is>
          <t>-</t>
        </is>
      </c>
      <c r="R160" s="13" t="n">
        <v>0</v>
      </c>
      <c r="S160" s="25" t="inlineStr">
        <is>
          <t>Known defect 2026-09-25: the activity log records staff actions (Mark as Printing, tracking add/send/update; re-confirmed 2026-10-14) as the customer (user.is_admin=false). A completed order is listed under 이전 내역 since MUS-QA-007 was fixed (seen 2026-10-14). Possible defect 2026-10-14: the delivered order's 배송 조회 section still says 주문하신 상품이 배송 중입니다 (MUS-QA-010).</t>
        </is>
      </c>
      <c r="T160" s="14" t="inlineStr">
        <is>
          <t>Not Run</t>
        </is>
      </c>
      <c r="U160" s="15" t="n"/>
      <c r="V160" s="15" t="n"/>
      <c r="W160" s="15" t="n"/>
      <c r="X160" s="15" t="n"/>
      <c r="Y160" s="25" t="inlineStr">
        <is>
          <t>MS-ADM-020</t>
        </is>
      </c>
    </row>
    <row r="161" ht="150" customHeight="1">
      <c r="A161" s="12" t="inlineStr">
        <is>
          <t>MS-ADMO-016</t>
        </is>
      </c>
      <c r="B161" s="25" t="inlineStr">
        <is>
          <t>Storefront + Admin</t>
        </is>
      </c>
      <c r="C161" s="25" t="inlineStr">
        <is>
          <t>14. Admin - order processing</t>
        </is>
      </c>
      <c r="D161" s="25" t="inlineStr">
        <is>
          <t>Production and shipping</t>
        </is>
      </c>
      <c r="E161" s="25" t="inlineStr">
        <is>
          <t>The Track link for a CJ shipment opens the courier tracking page for that tracking number from both the admin panel and the customer order page.</t>
        </is>
      </c>
      <c r="F161" s="13" t="inlineStr">
        <is>
          <t>Medium</t>
        </is>
      </c>
      <c r="G161" s="25" t="inlineStr">
        <is>
          <t>Integration</t>
        </is>
      </c>
      <c r="H161" s="25" t="inlineStr">
        <is>
          <t>Admin panel static-1 (https://dev-static-1-admin-panel.musticker.com) signed in with a staff account. Test order shipped with CJ courier and a tracking number.</t>
        </is>
      </c>
      <c r="I161" s="25" t="inlineStr">
        <is>
          <t>Tracking number of the test order.</t>
        </is>
      </c>
      <c r="J161" s="25" t="inlineStr">
        <is>
          <t xml:space="preserve">1. Admin: on the tracking card click Track and inspect the URL.
2. Storefront: on the order click the "운송장 번호: &lt;no&gt;" link and inspect the URL.</t>
        </is>
      </c>
      <c r="K161" s="25" t="inlineStr">
        <is>
          <t>Both links open the CJ tracking page with the tracking number passed as a named query parameter, showing that shipment.</t>
        </is>
      </c>
      <c r="L161" s="13" t="inlineStr">
        <is>
          <t>Planned</t>
        </is>
      </c>
      <c r="M161" s="25" t="inlineStr">
        <is>
          <t>Dev only</t>
        </is>
      </c>
      <c r="N161" s="25" t="inlineStr">
        <is>
          <t>RUN_ADMIN_DESTRUCTIVE_E2E=true + saved admin session</t>
        </is>
      </c>
      <c r="O161" s="25" t="inlineStr">
        <is>
          <t>-</t>
        </is>
      </c>
      <c r="P161" s="25" t="inlineStr">
        <is>
          <t>-</t>
        </is>
      </c>
      <c r="Q161" s="25" t="inlineStr">
        <is>
          <t>-</t>
        </is>
      </c>
      <c r="R161" s="13" t="n">
        <v>0</v>
      </c>
      <c r="S161" s="25" t="inlineStr">
        <is>
          <t>Known defect 2026-09-25: the CJ tracking link is malformed ("tracking?=&lt;no&gt;" with no parameter name) on both the admin panel and the customer order page.</t>
        </is>
      </c>
      <c r="T161" s="14" t="inlineStr">
        <is>
          <t>Not Run</t>
        </is>
      </c>
      <c r="U161" s="15" t="n"/>
      <c r="V161" s="15" t="n"/>
      <c r="W161" s="15" t="n"/>
      <c r="X161" s="15" t="n"/>
      <c r="Y161" s="25" t="inlineStr">
        <is>
          <t>MS-ADM-021</t>
        </is>
      </c>
    </row>
    <row r="162" ht="150" customHeight="1">
      <c r="A162" s="12" t="inlineStr">
        <is>
          <t>MS-ADMO-017</t>
        </is>
      </c>
      <c r="B162" s="25" t="inlineStr">
        <is>
          <t>Admin</t>
        </is>
      </c>
      <c r="C162" s="25" t="inlineStr">
        <is>
          <t>14. Admin - order processing</t>
        </is>
      </c>
      <c r="D162" s="25" t="inlineStr">
        <is>
          <t>Order adjustments</t>
        </is>
      </c>
      <c r="E162" s="25" t="inlineStr">
        <is>
          <t>Staff can add a production note to an order and it is saved with the order.</t>
        </is>
      </c>
      <c r="F162" s="13" t="inlineStr">
        <is>
          <t>Low</t>
        </is>
      </c>
      <c r="G162" s="25" t="inlineStr">
        <is>
          <t>Functional</t>
        </is>
      </c>
      <c r="H162" s="25" t="inlineStr">
        <is>
          <t>Admin panel static-1 (https://dev-static-1-admin-panel.musticker.com) signed in with a staff account. Test order in 제작 전 or 제작 진행 중.</t>
        </is>
      </c>
      <c r="I162" s="25" t="inlineStr">
        <is>
          <t>Note "QA production note &lt;timestamp&gt;".</t>
        </is>
      </c>
      <c r="J162" s="25" t="inlineStr">
        <is>
          <t xml:space="preserve">1. Open the order and add a production note.
2. Save.
3. Reload the page.</t>
        </is>
      </c>
      <c r="K162" s="25" t="inlineStr">
        <is>
          <t>The note is shown after saving and still present after reload.</t>
        </is>
      </c>
      <c r="L162" s="13" t="inlineStr">
        <is>
          <t>Planned</t>
        </is>
      </c>
      <c r="M162" s="25" t="inlineStr">
        <is>
          <t>Dev only</t>
        </is>
      </c>
      <c r="N162" s="25" t="inlineStr">
        <is>
          <t>RUN_ADMIN_DESTRUCTIVE_E2E=true + saved admin session</t>
        </is>
      </c>
      <c r="O162" s="25" t="inlineStr">
        <is>
          <t>-</t>
        </is>
      </c>
      <c r="P162" s="25" t="inlineStr">
        <is>
          <t>-</t>
        </is>
      </c>
      <c r="Q162" s="25" t="inlineStr">
        <is>
          <t>-</t>
        </is>
      </c>
      <c r="R162" s="13" t="n">
        <v>0</v>
      </c>
      <c r="S162" s="25" t="inlineStr">
        <is>
          <t>Whether the note appears in Download Job Details not verified.</t>
        </is>
      </c>
      <c r="T162" s="14" t="inlineStr">
        <is>
          <t>Not Run</t>
        </is>
      </c>
      <c r="U162" s="15" t="n"/>
      <c r="V162" s="15" t="n"/>
      <c r="W162" s="15" t="n"/>
      <c r="X162" s="15" t="n"/>
      <c r="Y162" s="25" t="inlineStr">
        <is>
          <t>MS-ADM-025</t>
        </is>
      </c>
    </row>
    <row r="163" ht="150" customHeight="1">
      <c r="A163" s="12" t="inlineStr">
        <is>
          <t>MS-ADMO-018</t>
        </is>
      </c>
      <c r="B163" s="25" t="inlineStr">
        <is>
          <t>Storefront + Admin</t>
        </is>
      </c>
      <c r="C163" s="25" t="inlineStr">
        <is>
          <t>14. Admin - order processing</t>
        </is>
      </c>
      <c r="D163" s="25" t="inlineStr">
        <is>
          <t>Order adjustments</t>
        </is>
      </c>
      <c r="E163" s="25" t="inlineStr">
        <is>
          <t>Waive Shipping Fee removes the shipping fee from an order.</t>
        </is>
      </c>
      <c r="F163" s="13" t="inlineStr">
        <is>
          <t>Medium</t>
        </is>
      </c>
      <c r="G163" s="25" t="inlineStr">
        <is>
          <t>Functional</t>
        </is>
      </c>
      <c r="H163" s="25" t="inlineStr">
        <is>
          <t>Admin panel static-1 (https://dev-static-1-admin-panel.musticker.com) signed in with a staff account. Test order with a shipping fee, not yet in production.</t>
        </is>
      </c>
      <c r="I163" s="25" t="inlineStr">
        <is>
          <t>Order shipping fee amount before the action.</t>
        </is>
      </c>
      <c r="J163" s="25" t="inlineStr">
        <is>
          <t xml:space="preserve">1. Note the shipping fee and order total.
2. Click Waive Shipping Fee and confirm.
3. Check the payment summary on the admin panel and the storefront order.</t>
        </is>
      </c>
      <c r="K163" s="25" t="inlineStr">
        <is>
          <t>Shipping fee shows 0 (waived) and the total drops by the former fee in both apps.</t>
        </is>
      </c>
      <c r="L163" s="13" t="inlineStr">
        <is>
          <t>Planned</t>
        </is>
      </c>
      <c r="M163" s="25" t="inlineStr">
        <is>
          <t>Dev only</t>
        </is>
      </c>
      <c r="N163" s="25" t="inlineStr">
        <is>
          <t>RUN_ADMIN_DESTRUCTIVE_E2E=true + saved admin session</t>
        </is>
      </c>
      <c r="O163" s="25" t="inlineStr">
        <is>
          <t>-</t>
        </is>
      </c>
      <c r="P163" s="25" t="inlineStr">
        <is>
          <t>-</t>
        </is>
      </c>
      <c r="Q163" s="25" t="inlineStr">
        <is>
          <t>-</t>
        </is>
      </c>
      <c r="R163" s="13" t="n">
        <v>0</v>
      </c>
      <c r="S163" s="25" t="inlineStr">
        <is>
          <t>Effect on an already-paid order (refund) not verified; combine with the refund case if it creates a refundable amount.</t>
        </is>
      </c>
      <c r="T163" s="14" t="inlineStr">
        <is>
          <t>Not Run</t>
        </is>
      </c>
      <c r="U163" s="15" t="n"/>
      <c r="V163" s="15" t="n"/>
      <c r="W163" s="15" t="n"/>
      <c r="X163" s="15" t="n"/>
      <c r="Y163" s="25" t="inlineStr">
        <is>
          <t>MS-ADM-027</t>
        </is>
      </c>
    </row>
    <row r="164" ht="150" customHeight="1">
      <c r="A164" s="12" t="inlineStr">
        <is>
          <t>MS-ADMA-001</t>
        </is>
      </c>
      <c r="B164" s="25" t="inlineStr">
        <is>
          <t>Admin</t>
        </is>
      </c>
      <c r="C164" s="25" t="inlineStr">
        <is>
          <t>15. Admin - access &amp; order management</t>
        </is>
      </c>
      <c r="D164" s="25" t="inlineStr">
        <is>
          <t>Admin sign-in</t>
        </is>
      </c>
      <c r="E164" s="25" t="inlineStr">
        <is>
          <t>Admin login requires a verification code that is emailed to sales@musticker.com before the panel opens.</t>
        </is>
      </c>
      <c r="F164" s="13" t="inlineStr">
        <is>
          <t>High</t>
        </is>
      </c>
      <c r="G164" s="25" t="inlineStr">
        <is>
          <t>Security</t>
        </is>
      </c>
      <c r="H164" s="25" t="inlineStr">
        <is>
          <t>Admin panel static-1, signed out. Access to the sales@musticker.com inbox (shared company inbox).</t>
        </is>
      </c>
      <c r="I164" s="25" t="inlineStr">
        <is>
          <t>A valid staff email and password (entered by the QA engineer, never stored in the suite).</t>
        </is>
      </c>
      <c r="J164" s="25" t="inlineStr">
        <is>
          <t xml:space="preserve">1. Open the admin panel login page.
2. Enter valid staff email and password and submit.
3. Observe the verification step.
4. Open the sales@musticker.com inbox and read the code.
5. Enter the code (tick "Keep me signed in" if a saved session is being captured) and submit.</t>
        </is>
      </c>
      <c r="K164" s="25" t="inlineStr">
        <is>
          <t>After the password step the panel asks for a verification code and does not open the orders area; a code arrives at sales@musticker.com; after entering it the panel opens signed in.</t>
        </is>
      </c>
      <c r="L164" s="13" t="inlineStr">
        <is>
          <t>Planned</t>
        </is>
      </c>
      <c r="M164" s="25" t="inlineStr">
        <is>
          <t>Dev only</t>
        </is>
      </c>
      <c r="N164" s="25" t="inlineStr">
        <is>
          <t>RUN_ADMIN_DESTRUCTIVE_E2E=true + saved admin session</t>
        </is>
      </c>
      <c r="O164" s="25" t="inlineStr">
        <is>
          <t>-</t>
        </is>
      </c>
      <c r="P164" s="25" t="inlineStr">
        <is>
          <t>-</t>
        </is>
      </c>
      <c r="Q164" s="25" t="inlineStr">
        <is>
          <t>-</t>
        </is>
      </c>
      <c r="R164" s="13" t="n">
        <v>0</v>
      </c>
      <c r="S164" s="25" t="inlineStr">
        <is>
          <t>Cannot be automated per run: the suite has no access to sales@musticker.com (unlike the storefront OTP via mail.tm). This is why sessions are captured once by a human with `npm run admin:login` and reused. With "Keep me signed in" the session lasts about a week (per site owner 2026-09-25). 2026-10-14: dev-static-1's API has a tester endpoint, /sys/kr/tester/get-otp?email=&lt;staff email&gt;, that returns the code, which would let admin:login run without a person on static-1. Not used by the suite yet.</t>
        </is>
      </c>
      <c r="T164" s="14" t="inlineStr">
        <is>
          <t>Not Run</t>
        </is>
      </c>
      <c r="U164" s="15" t="n"/>
      <c r="V164" s="15" t="n"/>
      <c r="W164" s="15" t="n"/>
      <c r="X164" s="15" t="n"/>
      <c r="Y164" s="25" t="inlineStr">
        <is>
          <t>MS-ADM-002</t>
        </is>
      </c>
    </row>
    <row r="165" ht="150" customHeight="1">
      <c r="A165" s="12" t="inlineStr">
        <is>
          <t>MS-ADMA-002</t>
        </is>
      </c>
      <c r="B165" s="25" t="inlineStr">
        <is>
          <t>Admin</t>
        </is>
      </c>
      <c r="C165" s="25" t="inlineStr">
        <is>
          <t>15. Admin - access &amp; order management</t>
        </is>
      </c>
      <c r="D165" s="25" t="inlineStr">
        <is>
          <t>Admin sign-in</t>
        </is>
      </c>
      <c r="E165" s="25" t="inlineStr">
        <is>
          <t>Signing in while another session is active shows "Active Session Detected", where Cancel keeps the other session and Logout &amp; Continue ends it.</t>
        </is>
      </c>
      <c r="F165" s="13" t="inlineStr">
        <is>
          <t>High</t>
        </is>
      </c>
      <c r="G165" s="25" t="inlineStr">
        <is>
          <t>Security</t>
        </is>
      </c>
      <c r="H165" s="25" t="inlineStr">
        <is>
          <t>Staff account already signed in on browser A (e.g. the saved automation session). Browser B signed out. Access to sales@musticker.com.</t>
        </is>
      </c>
      <c r="I165" s="25" t="inlineStr">
        <is>
          <t>Same staff account on two browsers.</t>
        </is>
      </c>
      <c r="J165" s="25" t="inlineStr">
        <is>
          <t xml:space="preserve">1. In browser B, sign in with the same account up to and including the verification code.
2. Observe the "Active Session Detected" dialog.
3. Click Cancel.
4. In browser A, reload an admin page.
5. Repeat step 1 in browser B and click Logout &amp; Continue.
6. In browser A, reload an admin page (or call /sys/kr/auth/admin/me).</t>
        </is>
      </c>
      <c r="K165" s="25" t="inlineStr">
        <is>
          <t>Step 2: dialog "Active Session Detected" with Cancel and Logout &amp; Continue. Step 3-4: browser B is not signed in and browser A stays signed in. Step 5: browser B opens the panel. Step 6: browser A is signed out / /auth/admin/me no longer answers success=true.</t>
        </is>
      </c>
      <c r="L165" s="13" t="inlineStr">
        <is>
          <t>Planned</t>
        </is>
      </c>
      <c r="M165" s="25" t="inlineStr">
        <is>
          <t>Dev only</t>
        </is>
      </c>
      <c r="N165" s="25" t="inlineStr">
        <is>
          <t>RUN_ADMIN_DESTRUCTIVE_E2E=true + saved admin session</t>
        </is>
      </c>
      <c r="O165" s="25" t="inlineStr">
        <is>
          <t>-</t>
        </is>
      </c>
      <c r="P165" s="25" t="inlineStr">
        <is>
          <t>-</t>
        </is>
      </c>
      <c r="Q165" s="25" t="inlineStr">
        <is>
          <t>-</t>
        </is>
      </c>
      <c r="R165" s="13" t="n">
        <v>0</v>
      </c>
      <c r="S165" s="25" t="inlineStr">
        <is>
          <t>One active session per account. Running this ends the saved automation session (.auth/admin-static-1.json) -- rerun `npm run admin:login` afterwards. admin-test fixture skips with SKIP_EXPIRED_ADMIN_SESSION when that happens.</t>
        </is>
      </c>
      <c r="T165" s="14" t="inlineStr">
        <is>
          <t>Not Run</t>
        </is>
      </c>
      <c r="U165" s="15" t="n"/>
      <c r="V165" s="15" t="n"/>
      <c r="W165" s="15" t="n"/>
      <c r="X165" s="15" t="n"/>
      <c r="Y165" s="25" t="inlineStr">
        <is>
          <t>MS-ADM-003</t>
        </is>
      </c>
    </row>
    <row r="166" ht="150" customHeight="1">
      <c r="A166" s="12" t="inlineStr">
        <is>
          <t>MS-ADMA-003</t>
        </is>
      </c>
      <c r="B166" s="25" t="inlineStr">
        <is>
          <t>Admin</t>
        </is>
      </c>
      <c r="C166" s="25" t="inlineStr">
        <is>
          <t>15. Admin - access &amp; order management</t>
        </is>
      </c>
      <c r="D166" s="25" t="inlineStr">
        <is>
          <t>Orders list</t>
        </is>
      </c>
      <c r="E166" s="25" t="inlineStr">
        <is>
          <t>The orders list shows one tab per status and each tab lists only orders in that status.</t>
        </is>
      </c>
      <c r="F166" s="13" t="inlineStr">
        <is>
          <t>Medium</t>
        </is>
      </c>
      <c r="G166" s="25" t="inlineStr">
        <is>
          <t>Functional</t>
        </is>
      </c>
      <c r="H166" s="25" t="inlineStr">
        <is>
          <t>Admin panel static-1 (https://dev-static-1-admin-panel.musticker.com) signed in with a staff account. Orders exist in several statuses.</t>
        </is>
      </c>
      <c r="I166" s="25" t="inlineStr">
        <is>
          <t>Tabs: 제작 전 (BP), 제작 진행 중 (FP), 배송 중 (SP), 주문 완료 (CP), 주문 취소 (CC), 확인 필요 (PA).</t>
        </is>
      </c>
      <c r="J166" s="25" t="inlineStr">
        <is>
          <t xml:space="preserve">1. Open /orders (URL gets ?tab=...).
2. Note the default tab.
3. Click each tab in turn.
4. Open one order from each non-empty tab and read its header status.</t>
        </is>
      </c>
      <c r="K166" s="25" t="inlineStr">
        <is>
          <t>All six tabs are present with these labels; the default is 제작 전; each tab lists only orders whose header status matches the tab (확인 필요 is a list tab, not an order status).</t>
        </is>
      </c>
      <c r="L166" s="13" t="inlineStr">
        <is>
          <t>Planned</t>
        </is>
      </c>
      <c r="M166" s="25" t="inlineStr">
        <is>
          <t>Dev only</t>
        </is>
      </c>
      <c r="N166" s="25" t="inlineStr">
        <is>
          <t>RUN_ADMIN_DESTRUCTIVE_E2E=true + saved admin session</t>
        </is>
      </c>
      <c r="O166" s="25" t="inlineStr">
        <is>
          <t>-</t>
        </is>
      </c>
      <c r="P166" s="25" t="inlineStr">
        <is>
          <t>-</t>
        </is>
      </c>
      <c r="Q166" s="25" t="inlineStr">
        <is>
          <t>-</t>
        </is>
      </c>
      <c r="R166" s="13" t="n">
        <v>0</v>
      </c>
      <c r="S166" s="25" t="inlineStr">
        <is>
          <t>Read-only on data but still run on static-1 only: the panel shows real customer names and emails.</t>
        </is>
      </c>
      <c r="T166" s="14" t="inlineStr">
        <is>
          <t>Not Run</t>
        </is>
      </c>
      <c r="U166" s="15" t="n"/>
      <c r="V166" s="15" t="n"/>
      <c r="W166" s="15" t="n"/>
      <c r="X166" s="15" t="n"/>
      <c r="Y166" s="25" t="inlineStr">
        <is>
          <t>MS-ADM-004</t>
        </is>
      </c>
    </row>
    <row r="167" ht="150" customHeight="1">
      <c r="A167" s="12" t="inlineStr">
        <is>
          <t>MS-ADMA-004</t>
        </is>
      </c>
      <c r="B167" s="25" t="inlineStr">
        <is>
          <t>Storefront + Admin</t>
        </is>
      </c>
      <c r="C167" s="25" t="inlineStr">
        <is>
          <t>15. Admin - access &amp; order management</t>
        </is>
      </c>
      <c r="D167" s="25" t="inlineStr">
        <is>
          <t>Orders list</t>
        </is>
      </c>
      <c r="E167" s="25" t="inlineStr">
        <is>
          <t>Order search finds an order by customer name, email or invoice number within the selected tab, and Export List exports the list.</t>
        </is>
      </c>
      <c r="F167" s="13" t="inlineStr">
        <is>
          <t>Medium</t>
        </is>
      </c>
      <c r="G167" s="25" t="inlineStr">
        <is>
          <t>Functional</t>
        </is>
      </c>
      <c r="H167" s="25" t="inlineStr">
        <is>
          <t>Admin panel static-1 (https://dev-static-1-admin-panel.musticker.com) signed in with a staff account. A known order in 제작 전 with known customer name, email and invoice (order) number.</t>
        </is>
      </c>
      <c r="I167" s="25" t="inlineStr">
        <is>
          <t>Known order number (e.g. AO-26092xxxxx-dev), its customer name and email; a non-matching term.</t>
        </is>
      </c>
      <c r="J167" s="25" t="inlineStr">
        <is>
          <t xml:space="preserve">1. Open /orders on the 제작 전 tab.
2. Type the order number in "Search name, email or invoice no." and press Enter.
3. Repeat with the customer email, then the customer name.
4. Switch to another tab and repeat the order-number search.
5. Search a non-matching term.
6. Clear the search and click Export List.</t>
        </is>
      </c>
      <c r="K167" s="25" t="inlineStr">
        <is>
          <t>Steps 2-3: the matching order is listed. Step 4: the order is not listed in a tab it is not in (search is tab-scoped). Step 5: no rows. Step 6: a list export is produced for download.</t>
        </is>
      </c>
      <c r="L167" s="13" t="inlineStr">
        <is>
          <t>Planned</t>
        </is>
      </c>
      <c r="M167" s="25" t="inlineStr">
        <is>
          <t>Dev only</t>
        </is>
      </c>
      <c r="N167" s="25" t="inlineStr">
        <is>
          <t>RUN_ADMIN_DESTRUCTIVE_E2E=true + saved admin session</t>
        </is>
      </c>
      <c r="O167" s="25" t="inlineStr">
        <is>
          <t>-</t>
        </is>
      </c>
      <c r="P167" s="25" t="inlineStr">
        <is>
          <t>-</t>
        </is>
      </c>
      <c r="Q167" s="25" t="inlineStr">
        <is>
          <t>-</t>
        </is>
      </c>
      <c r="R167" s="13" t="n">
        <v>0</v>
      </c>
      <c r="S167" s="25" t="inlineStr">
        <is>
          <t>Search applies on Enter only and only within the selected tab (the automation's AdminApi.findOrder walks every tab for this reason). Export contents not yet verified field by field.</t>
        </is>
      </c>
      <c r="T167" s="14" t="inlineStr">
        <is>
          <t>Not Run</t>
        </is>
      </c>
      <c r="U167" s="15" t="n"/>
      <c r="V167" s="15" t="n"/>
      <c r="W167" s="15" t="n"/>
      <c r="X167" s="15" t="n"/>
      <c r="Y167" s="25" t="inlineStr">
        <is>
          <t>MS-ADM-005</t>
        </is>
      </c>
    </row>
    <row r="168" ht="150" customHeight="1">
      <c r="A168" s="12" t="inlineStr">
        <is>
          <t>MS-ADMA-005</t>
        </is>
      </c>
      <c r="B168" s="25" t="inlineStr">
        <is>
          <t>Admin</t>
        </is>
      </c>
      <c r="C168" s="25" t="inlineStr">
        <is>
          <t>15. Admin - access &amp; order management</t>
        </is>
      </c>
      <c r="D168" s="25" t="inlineStr">
        <is>
          <t>Orders list</t>
        </is>
      </c>
      <c r="E168" s="25" t="inlineStr">
        <is>
          <t>The status dropdown next to the order number offers only 주문 보류, 응답 대기 and 주문 취소 and never moves an order forward.</t>
        </is>
      </c>
      <c r="F168" s="13" t="inlineStr">
        <is>
          <t>High</t>
        </is>
      </c>
      <c r="G168" s="25" t="inlineStr">
        <is>
          <t>Negative</t>
        </is>
      </c>
      <c r="H168" s="25" t="inlineStr">
        <is>
          <t>Admin panel static-1 (https://dev-static-1-admin-panel.musticker.com) signed in with a staff account. An order in 제작 전 and one further along (e.g. 제작 진행 중).</t>
        </is>
      </c>
      <c r="I168" s="25" t="inlineStr">
        <is>
          <t>-</t>
        </is>
      </c>
      <c r="J168" s="25" t="inlineStr">
        <is>
          <t xml:space="preserve">1. Open an order in 제작 전.
2. Open the status dropdown next to the order number and list the options.
3. Repeat on an order in 제작 진행 중.
4. Close without choosing.</t>
        </is>
      </c>
      <c r="K168" s="25" t="inlineStr">
        <is>
          <t>Only 주문 보류, 응답 대기 and 주문 취소 are offered; no forward status (제작 진행 중, 배송 중, 주문 완료) is available. Forward moves exist only as the header primary action (Mark as Printing / Add Tracking Number).</t>
        </is>
      </c>
      <c r="L168" s="13" t="inlineStr">
        <is>
          <t>Planned</t>
        </is>
      </c>
      <c r="M168" s="25" t="inlineStr">
        <is>
          <t>Dev only</t>
        </is>
      </c>
      <c r="N168" s="25" t="inlineStr">
        <is>
          <t>RUN_ADMIN_DESTRUCTIVE_E2E=true + saved admin session</t>
        </is>
      </c>
      <c r="O168" s="25" t="inlineStr">
        <is>
          <t>-</t>
        </is>
      </c>
      <c r="P168" s="25" t="inlineStr">
        <is>
          <t>-</t>
        </is>
      </c>
      <c r="Q168" s="25" t="inlineStr">
        <is>
          <t>-</t>
        </is>
      </c>
      <c r="R168" s="13" t="n">
        <v>0</v>
      </c>
      <c r="S168" s="25" t="inlineStr">
        <is>
          <t>Do not select 주문 취소 on a shared order unless it is a disposable test order.</t>
        </is>
      </c>
      <c r="T168" s="14" t="inlineStr">
        <is>
          <t>Not Run</t>
        </is>
      </c>
      <c r="U168" s="15" t="n"/>
      <c r="V168" s="15" t="n"/>
      <c r="W168" s="15" t="n"/>
      <c r="X168" s="15" t="n"/>
      <c r="Y168" s="25" t="inlineStr">
        <is>
          <t>MS-ADM-006</t>
        </is>
      </c>
    </row>
    <row r="169" ht="150" customHeight="1">
      <c r="A169" s="12" t="inlineStr">
        <is>
          <t>MS-ADMA-006</t>
        </is>
      </c>
      <c r="B169" s="25" t="inlineStr">
        <is>
          <t>Storefront + Admin</t>
        </is>
      </c>
      <c r="C169" s="25" t="inlineStr">
        <is>
          <t>15. Admin - access &amp; order management</t>
        </is>
      </c>
      <c r="D169" s="25" t="inlineStr">
        <is>
          <t>Order detail</t>
        </is>
      </c>
      <c r="E169" s="25" t="inlineStr">
        <is>
          <t>Every entry in an item's activity log is attributed to whoever performed it: customer actions to the customer, staff actions to the staff user.</t>
        </is>
      </c>
      <c r="F169" s="13" t="inlineStr">
        <is>
          <t>High</t>
        </is>
      </c>
      <c r="G169" s="25" t="inlineStr">
        <is>
          <t>Security</t>
        </is>
      </c>
      <c r="H169" s="25" t="inlineStr">
        <is>
          <t>Admin panel static-1 (https://dev-static-1-admin-panel.musticker.com) signed in with a staff account. A test order taken through the lifecycle (e.g. after MS-ADMO-001).</t>
        </is>
      </c>
      <c r="I169" s="25" t="inlineStr">
        <is>
          <t>GET /sys/kr/orders/artwork/activity/&lt;cart_item_id&gt; from the signed-in admin context.</t>
        </is>
      </c>
      <c r="J169" s="25" t="inlineStr">
        <is>
          <t xml:space="preserve">1. Read the item activity log (admin UI or API).
2. For each entry note the action, user.name and user.is_admin.
3. Compare with who actually performed it.</t>
        </is>
      </c>
      <c r="K169" s="25" t="inlineStr">
        <is>
          <t>Customer upload, resubmission and approval: is_admin=false, customer name. Staff evaluation, final proof, Mark as Printing, tracking add/send/update: is_admin=true, staff name.</t>
        </is>
      </c>
      <c r="L169" s="13" t="inlineStr">
        <is>
          <t>Planned</t>
        </is>
      </c>
      <c r="M169" s="25" t="inlineStr">
        <is>
          <t>Dev only</t>
        </is>
      </c>
      <c r="N169" s="25" t="inlineStr">
        <is>
          <t>RUN_ADMIN_DESTRUCTIVE_E2E=true + saved admin session</t>
        </is>
      </c>
      <c r="O169" s="25" t="inlineStr">
        <is>
          <t>-</t>
        </is>
      </c>
      <c r="P169" s="25" t="inlineStr">
        <is>
          <t>-</t>
        </is>
      </c>
      <c r="Q169" s="25" t="inlineStr">
        <is>
          <t>-</t>
        </is>
      </c>
      <c r="R169" s="13" t="n">
        <v>0</v>
      </c>
      <c r="S169" s="25" t="inlineStr">
        <is>
          <t>Known defect 2026-09-25: the activity log records staff actions (Mark as Printing, tracking add/send/update; re-confirmed 2026-10-14) as the customer (user.is_admin=false). As of 2026-10-14 staff evaluation and proof entries (CA, FE, PE, NA) are correctly is_admin=true; printing and shipping entries (P, RS, OD, DE) are not. Audit-trail integrity issue; MS-ADMO-001 deliberately asserts attribution only on customer steps until fixed.</t>
        </is>
      </c>
      <c r="T169" s="14" t="inlineStr">
        <is>
          <t>Not Run</t>
        </is>
      </c>
      <c r="U169" s="15" t="n"/>
      <c r="V169" s="15" t="n"/>
      <c r="W169" s="15" t="n"/>
      <c r="X169" s="15" t="n"/>
      <c r="Y169" s="25" t="inlineStr">
        <is>
          <t>MS-ADM-022</t>
        </is>
      </c>
    </row>
    <row r="170" ht="150" customHeight="1">
      <c r="A170" s="12" t="inlineStr">
        <is>
          <t>MS-ADMA-007</t>
        </is>
      </c>
      <c r="B170" s="25" t="inlineStr">
        <is>
          <t>Admin</t>
        </is>
      </c>
      <c r="C170" s="25" t="inlineStr">
        <is>
          <t>15. Admin - access &amp; order management</t>
        </is>
      </c>
      <c r="D170" s="25" t="inlineStr">
        <is>
          <t>Order detail</t>
        </is>
      </c>
      <c r="E170" s="25" t="inlineStr">
        <is>
          <t>The Edit Item modal lets staff change product, size and quantity while the price is shown read-only.</t>
        </is>
      </c>
      <c r="F170" s="13" t="inlineStr">
        <is>
          <t>Medium</t>
        </is>
      </c>
      <c r="G170" s="25" t="inlineStr">
        <is>
          <t>Functional</t>
        </is>
      </c>
      <c r="H170" s="25" t="inlineStr">
        <is>
          <t>Admin panel static-1 (https://dev-static-1-admin-panel.musticker.com) signed in with a staff account. Test order in 제작 전.</t>
        </is>
      </c>
      <c r="I170" s="25" t="inlineStr">
        <is>
          <t>New size and quantity values valid for the product.</t>
        </is>
      </c>
      <c r="J170" s="25" t="inlineStr">
        <is>
          <t xml:space="preserve">1. Click the edit icon on the item row.
2. Inspect the fields.
3. Try to edit the price.
4. Change size and quantity and save.
5. Check the item row, order totals and payment section.</t>
        </is>
      </c>
      <c r="K170" s="25" t="inlineStr">
        <is>
          <t>Product, size and quantity are editable; price is read-only; after saving the item row shows the new size/quantity and the recalculated amount.</t>
        </is>
      </c>
      <c r="L170" s="13" t="inlineStr">
        <is>
          <t>Planned</t>
        </is>
      </c>
      <c r="M170" s="25" t="inlineStr">
        <is>
          <t>Dev only</t>
        </is>
      </c>
      <c r="N170" s="25" t="inlineStr">
        <is>
          <t>RUN_ADMIN_DESTRUCTIVE_E2E=true + saved admin session</t>
        </is>
      </c>
      <c r="O170" s="25" t="inlineStr">
        <is>
          <t>-</t>
        </is>
      </c>
      <c r="P170" s="25" t="inlineStr">
        <is>
          <t>-</t>
        </is>
      </c>
      <c r="Q170" s="25" t="inlineStr">
        <is>
          <t>-</t>
        </is>
      </c>
      <c r="R170" s="13" t="n">
        <v>0</v>
      </c>
      <c r="S170" s="25" t="inlineStr">
        <is>
          <t>Known defect 2026-09-25: Add Item and item edit are still offered after Mark as Printing and on completed orders. If the new amount is lower than what was paid, see the refund case.</t>
        </is>
      </c>
      <c r="T170" s="14" t="inlineStr">
        <is>
          <t>Not Run</t>
        </is>
      </c>
      <c r="U170" s="15" t="n"/>
      <c r="V170" s="15" t="n"/>
      <c r="W170" s="15" t="n"/>
      <c r="X170" s="15" t="n"/>
      <c r="Y170" s="25" t="inlineStr">
        <is>
          <t>MS-ADM-023</t>
        </is>
      </c>
    </row>
    <row r="171" ht="150" customHeight="1">
      <c r="A171" s="12" t="inlineStr">
        <is>
          <t>MS-ADMA-008</t>
        </is>
      </c>
      <c r="B171" s="25" t="inlineStr">
        <is>
          <t>Admin</t>
        </is>
      </c>
      <c r="C171" s="25" t="inlineStr">
        <is>
          <t>15. Admin - access &amp; order management</t>
        </is>
      </c>
      <c r="D171" s="25" t="inlineStr">
        <is>
          <t>Order detail</t>
        </is>
      </c>
      <c r="E171" s="25" t="inlineStr">
        <is>
          <t>Add Item adds a new item to an order that has not gone to print, and is not offered once the order is printing or completed.</t>
        </is>
      </c>
      <c r="F171" s="13" t="inlineStr">
        <is>
          <t>Medium</t>
        </is>
      </c>
      <c r="G171" s="25" t="inlineStr">
        <is>
          <t>Functional</t>
        </is>
      </c>
      <c r="H171" s="25" t="inlineStr">
        <is>
          <t>Admin panel static-1 (https://dev-static-1-admin-panel.musticker.com) signed in with a staff account. One test order in 제작 전, one at 인쇄 진행 중, one 주문 완료.</t>
        </is>
      </c>
      <c r="I171" s="25" t="inlineStr">
        <is>
          <t>A product/size/quantity valid for the storefront.</t>
        </is>
      </c>
      <c r="J171" s="25" t="inlineStr">
        <is>
          <t xml:space="preserve">1. On the 제작 전 order click Add Item, fill product/size/quantity and save.
2. Check the item list and totals.
3. Open the printing order and the completed order and look for Add Item and item edit.</t>
        </is>
      </c>
      <c r="K171" s="25" t="inlineStr">
        <is>
          <t>Step 1-2: the new item appears (Item 00N) with its price and the totals update. Step 3: Add Item and item edit are not offered on the printing or completed order.</t>
        </is>
      </c>
      <c r="L171" s="13" t="inlineStr">
        <is>
          <t>Planned</t>
        </is>
      </c>
      <c r="M171" s="25" t="inlineStr">
        <is>
          <t>Dev only</t>
        </is>
      </c>
      <c r="N171" s="25" t="inlineStr">
        <is>
          <t>RUN_ADMIN_DESTRUCTIVE_E2E=true + saved admin session</t>
        </is>
      </c>
      <c r="O171" s="25" t="inlineStr">
        <is>
          <t>-</t>
        </is>
      </c>
      <c r="P171" s="25" t="inlineStr">
        <is>
          <t>-</t>
        </is>
      </c>
      <c r="Q171" s="25" t="inlineStr">
        <is>
          <t>-</t>
        </is>
      </c>
      <c r="R171" s="13" t="n">
        <v>0</v>
      </c>
      <c r="S171" s="25" t="inlineStr">
        <is>
          <t>Known defect 2026-09-25: Add Item and item edit are still offered after Mark as Printing and on completed orders.</t>
        </is>
      </c>
      <c r="T171" s="14" t="inlineStr">
        <is>
          <t>Not Run</t>
        </is>
      </c>
      <c r="U171" s="15" t="n"/>
      <c r="V171" s="15" t="n"/>
      <c r="W171" s="15" t="n"/>
      <c r="X171" s="15" t="n"/>
      <c r="Y171" s="25" t="inlineStr">
        <is>
          <t>MS-ADM-024</t>
        </is>
      </c>
    </row>
    <row r="172" ht="150" customHeight="1">
      <c r="A172" s="12" t="inlineStr">
        <is>
          <t>MS-ADMA-009</t>
        </is>
      </c>
      <c r="B172" s="25" t="inlineStr">
        <is>
          <t>Admin</t>
        </is>
      </c>
      <c r="C172" s="25" t="inlineStr">
        <is>
          <t>15. Admin - access &amp; order management</t>
        </is>
      </c>
      <c r="D172" s="25" t="inlineStr">
        <is>
          <t>Order detail</t>
        </is>
      </c>
      <c r="E172" s="25" t="inlineStr">
        <is>
          <t>The More Actions menu offers Open Invoice, Resend Invoice and Download Job Details, and each works.</t>
        </is>
      </c>
      <c r="F172" s="13" t="inlineStr">
        <is>
          <t>Medium</t>
        </is>
      </c>
      <c r="G172" s="25" t="inlineStr">
        <is>
          <t>Functional</t>
        </is>
      </c>
      <c r="H172" s="25" t="inlineStr">
        <is>
          <t>Admin panel static-1 (https://dev-static-1-admin-panel.musticker.com) signed in with a staff account. Test order of the seeded member; access to the member mailbox.</t>
        </is>
      </c>
      <c r="I172" s="25" t="inlineStr">
        <is>
          <t>-</t>
        </is>
      </c>
      <c r="J172" s="25" t="inlineStr">
        <is>
          <t xml:space="preserve">1. Open More Actions.
2. Click Open Invoice.
3. Click Resend Invoice.
4. Click Download Job Details.</t>
        </is>
      </c>
      <c r="K172" s="25" t="inlineStr">
        <is>
          <t>Step 1: the three actions are listed. Step 2: the invoice for this order opens. Step 3: the invoice email reaches the member. Step 4: a job-details file for the order is downloaded.</t>
        </is>
      </c>
      <c r="L172" s="13" t="inlineStr">
        <is>
          <t>Planned</t>
        </is>
      </c>
      <c r="M172" s="25" t="inlineStr">
        <is>
          <t>Dev only</t>
        </is>
      </c>
      <c r="N172" s="25" t="inlineStr">
        <is>
          <t>RUN_ADMIN_DESTRUCTIVE_E2E=true + saved admin session</t>
        </is>
      </c>
      <c r="O172" s="25" t="inlineStr">
        <is>
          <t>-</t>
        </is>
      </c>
      <c r="P172" s="25" t="inlineStr">
        <is>
          <t>-</t>
        </is>
      </c>
      <c r="Q172" s="25" t="inlineStr">
        <is>
          <t>-</t>
        </is>
      </c>
      <c r="R172" s="13" t="n">
        <v>0</v>
      </c>
      <c r="S172" s="25" t="inlineStr">
        <is>
          <t>Resend Invoice emails the member. Downloaded file content not yet verified field by field.</t>
        </is>
      </c>
      <c r="T172" s="14" t="inlineStr">
        <is>
          <t>Not Run</t>
        </is>
      </c>
      <c r="U172" s="15" t="n"/>
      <c r="V172" s="15" t="n"/>
      <c r="W172" s="15" t="n"/>
      <c r="X172" s="15" t="n"/>
      <c r="Y172" s="25" t="inlineStr">
        <is>
          <t>MS-ADM-026</t>
        </is>
      </c>
    </row>
    <row r="173" ht="150" customHeight="1">
      <c r="A173" s="12" t="inlineStr">
        <is>
          <t>MS-ADMA-010</t>
        </is>
      </c>
      <c r="B173" s="25" t="inlineStr">
        <is>
          <t>Storefront + Admin</t>
        </is>
      </c>
      <c r="C173" s="25" t="inlineStr">
        <is>
          <t>15. Admin - access &amp; order management</t>
        </is>
      </c>
      <c r="D173" s="25" t="inlineStr">
        <is>
          <t>Payments and completion</t>
        </is>
      </c>
      <c r="E173" s="25" t="inlineStr">
        <is>
          <t>Verify Payment records the order's payment as verified.</t>
        </is>
      </c>
      <c r="F173" s="13" t="inlineStr">
        <is>
          <t>High</t>
        </is>
      </c>
      <c r="G173" s="25" t="inlineStr">
        <is>
          <t>Functional</t>
        </is>
      </c>
      <c r="H173" s="25" t="inlineStr">
        <is>
          <t>Admin panel static-1 (https://dev-static-1-admin-panel.musticker.com) signed in with a staff account. Test order whose payment is not yet verified.</t>
        </is>
      </c>
      <c r="I173" s="25" t="inlineStr">
        <is>
          <t>-</t>
        </is>
      </c>
      <c r="J173" s="25" t="inlineStr">
        <is>
          <t xml:space="preserve">1. Open the order payment section.
2. Click Verify Payment and confirm.
3. Check the payment status in the admin panel and the storefront.</t>
        </is>
      </c>
      <c r="K173" s="25" t="inlineStr">
        <is>
          <t>Payment status becomes paid/verified and Verify Payment is no longer offered.</t>
        </is>
      </c>
      <c r="L173" s="13" t="inlineStr">
        <is>
          <t>Planned</t>
        </is>
      </c>
      <c r="M173" s="25" t="inlineStr">
        <is>
          <t>Dev only</t>
        </is>
      </c>
      <c r="N173" s="25" t="inlineStr">
        <is>
          <t>RUN_ADMIN_DESTRUCTIVE_E2E=true + saved admin session</t>
        </is>
      </c>
      <c r="O173" s="25" t="inlineStr">
        <is>
          <t>-</t>
        </is>
      </c>
      <c r="P173" s="25" t="inlineStr">
        <is>
          <t>-</t>
        </is>
      </c>
      <c r="Q173" s="25" t="inlineStr">
        <is>
          <t>-</t>
        </is>
      </c>
      <c r="R173" s="13" t="n">
        <v>0</v>
      </c>
      <c r="S173" s="25"/>
      <c r="T173" s="14" t="inlineStr">
        <is>
          <t>Not Run</t>
        </is>
      </c>
      <c r="U173" s="15" t="n"/>
      <c r="V173" s="15" t="n"/>
      <c r="W173" s="15" t="n"/>
      <c r="X173" s="15" t="n"/>
      <c r="Y173" s="25" t="inlineStr">
        <is>
          <t>MS-ADM-028</t>
        </is>
      </c>
    </row>
    <row r="174" ht="150" customHeight="1">
      <c r="A174" s="12" t="inlineStr">
        <is>
          <t>MS-ADMA-011</t>
        </is>
      </c>
      <c r="B174" s="25" t="inlineStr">
        <is>
          <t>Admin</t>
        </is>
      </c>
      <c r="C174" s="25" t="inlineStr">
        <is>
          <t>15. Admin - access &amp; order management</t>
        </is>
      </c>
      <c r="D174" s="25" t="inlineStr">
        <is>
          <t>Payments and completion</t>
        </is>
      </c>
      <c r="E174" s="25" t="inlineStr">
        <is>
          <t>Reducing an item after payment shows 환불 관련 with the refundable amount, and Verify Refund settles it.</t>
        </is>
      </c>
      <c r="F174" s="13" t="inlineStr">
        <is>
          <t>High</t>
        </is>
      </c>
      <c r="G174" s="25" t="inlineStr">
        <is>
          <t>Functional</t>
        </is>
      </c>
      <c r="H174" s="25" t="inlineStr">
        <is>
          <t>Admin panel static-1 (https://dev-static-1-admin-panel.musticker.com) signed in with a staff account. Paid test order in 제작 전.</t>
        </is>
      </c>
      <c r="I174" s="25" t="inlineStr">
        <is>
          <t>Reduce quantity (or size) so the item amount drops by a known value.</t>
        </is>
      </c>
      <c r="J174" s="25" t="inlineStr">
        <is>
          <t xml:space="preserve">1. Edit the item to a lower amount and save.
2. Check the payment section.
3. Click Verify Refund and confirm.
4. Check the payment section again.</t>
        </is>
      </c>
      <c r="K174" s="25" t="inlineStr">
        <is>
          <t>Step 2: payment shows 환불 관련 with refundable amount = amount paid minus new total. Step 4: the refund is recorded and the pending amount is cleared.</t>
        </is>
      </c>
      <c r="L174" s="13" t="inlineStr">
        <is>
          <t>Planned</t>
        </is>
      </c>
      <c r="M174" s="25" t="inlineStr">
        <is>
          <t>Dev only</t>
        </is>
      </c>
      <c r="N174" s="25" t="inlineStr">
        <is>
          <t>RUN_ADMIN_DESTRUCTIVE_E2E=true + saved admin session</t>
        </is>
      </c>
      <c r="O174" s="25" t="inlineStr">
        <is>
          <t>-</t>
        </is>
      </c>
      <c r="P174" s="25" t="inlineStr">
        <is>
          <t>-</t>
        </is>
      </c>
      <c r="Q174" s="25" t="inlineStr">
        <is>
          <t>-</t>
        </is>
      </c>
      <c r="R174" s="13" t="n">
        <v>0</v>
      </c>
      <c r="S174" s="25" t="inlineStr">
        <is>
          <t>On 2026-09-25 a 55,000원 refundable amount was shown after an item was reduced post-payment. See also the pending-refund case (known defect).</t>
        </is>
      </c>
      <c r="T174" s="14" t="inlineStr">
        <is>
          <t>Not Run</t>
        </is>
      </c>
      <c r="U174" s="15" t="n"/>
      <c r="V174" s="15" t="n"/>
      <c r="W174" s="15" t="n"/>
      <c r="X174" s="15" t="n"/>
      <c r="Y174" s="25" t="inlineStr">
        <is>
          <t>MS-ADM-029</t>
        </is>
      </c>
    </row>
    <row r="175" ht="150" customHeight="1">
      <c r="A175" s="12" t="inlineStr">
        <is>
          <t>MS-ADMA-012</t>
        </is>
      </c>
      <c r="B175" s="25" t="inlineStr">
        <is>
          <t>Admin</t>
        </is>
      </c>
      <c r="C175" s="25" t="inlineStr">
        <is>
          <t>15. Admin - access &amp; order management</t>
        </is>
      </c>
      <c r="D175" s="25" t="inlineStr">
        <is>
          <t>Payments and completion</t>
        </is>
      </c>
      <c r="E175" s="25" t="inlineStr">
        <is>
          <t>An order with a pending refund cannot be moved to production or completed until the refund is verified.</t>
        </is>
      </c>
      <c r="F175" s="13" t="inlineStr">
        <is>
          <t>High</t>
        </is>
      </c>
      <c r="G175" s="25" t="inlineStr">
        <is>
          <t>Negative</t>
        </is>
      </c>
      <c r="H175" s="25" t="inlineStr">
        <is>
          <t>Admin panel static-1 (https://dev-static-1-admin-panel.musticker.com) signed in with a staff account. Paid test order in 제작 전 with item approved (A-FPA) and a pending refund created by reducing an item.</t>
        </is>
      </c>
      <c r="I175" s="25" t="inlineStr">
        <is>
          <t>Pending refund amount (e.g. 55,000원).</t>
        </is>
      </c>
      <c r="J175" s="25" t="inlineStr">
        <is>
          <t xml:space="preserve">1. Confirm 환불 관련 shows a pending refundable amount.
2. Try Mark as Printing.
3. If it proceeds, try tracking and Update to 배송 완료.</t>
        </is>
      </c>
      <c r="K175" s="25" t="inlineStr">
        <is>
          <t>Mark as Printing (and every later step) is blocked or warns until Verify Refund is done; the order cannot reach 주문 완료 with a refund pending.</t>
        </is>
      </c>
      <c r="L175" s="13" t="inlineStr">
        <is>
          <t>Planned</t>
        </is>
      </c>
      <c r="M175" s="25" t="inlineStr">
        <is>
          <t>Dev only</t>
        </is>
      </c>
      <c r="N175" s="25" t="inlineStr">
        <is>
          <t>RUN_ADMIN_DESTRUCTIVE_E2E=true + saved admin session</t>
        </is>
      </c>
      <c r="O175" s="25" t="inlineStr">
        <is>
          <t>-</t>
        </is>
      </c>
      <c r="P175" s="25" t="inlineStr">
        <is>
          <t>-</t>
        </is>
      </c>
      <c r="Q175" s="25" t="inlineStr">
        <is>
          <t>-</t>
        </is>
      </c>
      <c r="R175" s="13" t="n">
        <v>0</v>
      </c>
      <c r="S175" s="25" t="inlineStr">
        <is>
          <t>Known defect 2026-09-25: an order was moved to production and completed while a 55,000원 refund was still pending.</t>
        </is>
      </c>
      <c r="T175" s="14" t="inlineStr">
        <is>
          <t>Not Run</t>
        </is>
      </c>
      <c r="U175" s="15" t="n"/>
      <c r="V175" s="15" t="n"/>
      <c r="W175" s="15" t="n"/>
      <c r="X175" s="15" t="n"/>
      <c r="Y175" s="25" t="inlineStr">
        <is>
          <t>MS-ADM-030</t>
        </is>
      </c>
    </row>
    <row r="176" ht="150" customHeight="1">
      <c r="A176" s="12" t="inlineStr">
        <is>
          <t>MS-ADMA-013</t>
        </is>
      </c>
      <c r="B176" s="25" t="inlineStr">
        <is>
          <t>Storefront + Admin</t>
        </is>
      </c>
      <c r="C176" s="25" t="inlineStr">
        <is>
          <t>15. Admin - access &amp; order management</t>
        </is>
      </c>
      <c r="D176" s="25" t="inlineStr">
        <is>
          <t>Payments and completion</t>
        </is>
      </c>
      <c r="E176" s="25" t="inlineStr">
        <is>
          <t>On the storefront a completed order has 주문 보류 and 주문 취소 disabled and is listed under 이전 내역, not 진행 중.</t>
        </is>
      </c>
      <c r="F176" s="13" t="inlineStr">
        <is>
          <t>Medium</t>
        </is>
      </c>
      <c r="G176" s="25" t="inlineStr">
        <is>
          <t>UI</t>
        </is>
      </c>
      <c r="H176" s="25" t="inlineStr">
        <is>
          <t>Seeded member signed in on static-1 storefront; a test order at 주문 완료 (e.g. after MS-ADMO-001).</t>
        </is>
      </c>
      <c r="I176" s="25" t="inlineStr">
        <is>
          <t>Completed order number.</t>
        </is>
      </c>
      <c r="J176" s="25" t="inlineStr">
        <is>
          <t xml:space="preserve">1. Open /kr/account/orders on the 진행 중 segment and search the order.
2. Switch to 이전 내역 and search it.
3. Open the order and inspect 주문 보류 and 주문 취소.</t>
        </is>
      </c>
      <c r="K176" s="25" t="inlineStr">
        <is>
          <t>The order is listed under 이전 내역 only; in the detail pane 주문 보류 and 주문 취소 are disabled; 배송 조회 shows "운송장 번호: &lt;no&gt;".</t>
        </is>
      </c>
      <c r="L176" s="13" t="inlineStr">
        <is>
          <t>Planned</t>
        </is>
      </c>
      <c r="M176" s="25" t="inlineStr">
        <is>
          <t>Dev only</t>
        </is>
      </c>
      <c r="N176" s="25" t="inlineStr">
        <is>
          <t>RUN_ADMIN_DESTRUCTIVE_E2E=true + saved admin session</t>
        </is>
      </c>
      <c r="O176" s="25" t="inlineStr">
        <is>
          <t>-</t>
        </is>
      </c>
      <c r="P176" s="25" t="inlineStr">
        <is>
          <t>-</t>
        </is>
      </c>
      <c r="Q176" s="25" t="inlineStr">
        <is>
          <t>-</t>
        </is>
      </c>
      <c r="R176" s="13" t="n">
        <v>0</v>
      </c>
      <c r="S176" s="25" t="inlineStr">
        <is>
          <t>MUS-QA-007 looks fixed: on 2026-10-14 the completed AO-2609090017-dev was listed under 이전 내역 and not 진행 중 (where its search showed 주문을 찾을 수 없습니다.). The 주문 보류/주문 취소 disabled part was verified correct on 2026-09-25.</t>
        </is>
      </c>
      <c r="T176" s="14" t="inlineStr">
        <is>
          <t>Not Run</t>
        </is>
      </c>
      <c r="U176" s="15" t="n"/>
      <c r="V176" s="15" t="n"/>
      <c r="W176" s="15" t="n"/>
      <c r="X176" s="15" t="n"/>
      <c r="Y176" s="25" t="inlineStr">
        <is>
          <t>MS-ADM-031</t>
        </is>
      </c>
    </row>
  </sheetData>
  <autoFilter ref="A1:Y176"/>
  <dataValidations count="3">
    <dataValidation sqref="T2:T176" showDropDown="0" showInputMessage="0" showErrorMessage="0" allowBlank="1" type="list">
      <formula1>"Not Run,Pass,Fail,Blocked,Partial,N/A"</formula1>
    </dataValidation>
    <dataValidation sqref="L2:L176" showDropDown="0" showInputMessage="0" showErrorMessage="0" allowBlank="0" type="list">
      <formula1>"Automated,Partial,Planned,Manual,Withdrawn"</formula1>
    </dataValidation>
    <dataValidation sqref="F2:F176" showDropDown="0" showInputMessage="0" showErrorMessage="0" allowBlank="0" type="list">
      <formula1>"Critical,High,Medium,Low"</formula1>
    </dataValidation>
  </dataValidations>
  <pageMargins left="0.75" right="0.75" top="1" bottom="1" header="0.5" footer="0.5"/>
  <legacyDrawing xmlns:r="http://schemas.openxmlformats.org/officeDocument/2006/relationships" r:id="anysvml"/>
</worksheet>
</file>

<file path=xl/worksheets/sheet5.xml><?xml version="1.0" encoding="utf-8"?>
<worksheet xmlns="http://schemas.openxmlformats.org/spreadsheetml/2006/main">
  <sheetPr>
    <outlinePr summaryBelow="1" summaryRight="1"/>
    <pageSetUpPr/>
  </sheetPr>
  <dimension ref="A1:D27"/>
  <sheetViews>
    <sheetView zoomScale="90" workbookViewId="0">
      <pane ySplit="3" topLeftCell="A4" activePane="bottomLeft" state="frozen"/>
      <selection pane="bottomLeft" activeCell="A1" sqref="A1"/>
    </sheetView>
  </sheetViews>
  <sheetFormatPr baseColWidth="8" defaultRowHeight="15"/>
  <cols>
    <col width="40" customWidth="1" min="1" max="1"/>
    <col width="52" customWidth="1" min="2" max="2"/>
    <col width="20" customWidth="1" min="3" max="3"/>
    <col width="64" customWidth="1" min="4" max="4"/>
  </cols>
  <sheetData>
    <row r="1" ht="19.5" customHeight="1">
      <c r="A1" s="1" t="inlineStr">
        <is>
          <t>Test Data Sets</t>
        </is>
      </c>
    </row>
    <row r="2">
      <c r="A2" s="2" t="inlineStr">
        <is>
          <t>Referenced by the Test Cases tab. Secrets are never written here - they live in .env locally and in CI secrets.</t>
        </is>
      </c>
    </row>
    <row r="3">
      <c r="A3" s="6" t="inlineStr">
        <is>
          <t>Item</t>
        </is>
      </c>
      <c r="B3" s="6" t="inlineStr">
        <is>
          <t>Value</t>
        </is>
      </c>
      <c r="C3" s="6" t="inlineStr">
        <is>
          <t>Source</t>
        </is>
      </c>
      <c r="D3" s="6" t="inlineStr">
        <is>
          <t>Note</t>
        </is>
      </c>
    </row>
    <row r="4">
      <c r="A4" s="7" t="inlineStr">
        <is>
          <t>ENVIRONMENTS (E2E_ENVIRONMENT)</t>
        </is>
      </c>
      <c r="B4" s="8" t="n"/>
      <c r="C4" s="8" t="n"/>
      <c r="D4" s="8" t="n"/>
    </row>
    <row r="5" ht="24" customHeight="1">
      <c r="A5" s="12" t="inlineStr">
        <is>
          <t>production - storefront / API</t>
        </is>
      </c>
      <c r="B5" s="18" t="inlineStr">
        <is>
          <t>https://www.musticker.com/kr  |  https://api.musticker.com/index.php</t>
        </is>
      </c>
      <c r="C5" s="25" t="inlineStr">
        <is>
          <t>environments.ts</t>
        </is>
      </c>
      <c r="D5" s="25" t="inlineStr">
        <is>
          <t>Read-only for tests.</t>
        </is>
      </c>
    </row>
    <row r="6">
      <c r="A6" s="12" t="inlineStr">
        <is>
          <t>production - admin panel</t>
        </is>
      </c>
      <c r="B6" s="18" t="inlineStr">
        <is>
          <t>https://admin-panel.musticker.com</t>
        </is>
      </c>
      <c r="C6" s="25" t="inlineStr">
        <is>
          <t>environments.ts</t>
        </is>
      </c>
      <c r="D6" s="25" t="inlineStr">
        <is>
          <t>Read-only. Only the designated test order may be opened (AO-2609250005).</t>
        </is>
      </c>
    </row>
    <row r="7" ht="24" customHeight="1">
      <c r="A7" s="12" t="inlineStr">
        <is>
          <t>static-1 - storefront / API</t>
        </is>
      </c>
      <c r="B7" s="18" t="inlineStr">
        <is>
          <t>https://dev-static-1.musticker.com/kr  |  https://dev-static-1-api.musticker.com/index.php</t>
        </is>
      </c>
      <c r="C7" s="25" t="inlineStr">
        <is>
          <t>environments.ts</t>
        </is>
      </c>
      <c r="D7" s="25" t="inlineStr">
        <is>
          <t>The admin-processing server (E2E_ENVIRONMENT=static-1; formerly development-static).</t>
        </is>
      </c>
    </row>
    <row r="8">
      <c r="A8" s="12" t="inlineStr">
        <is>
          <t>static-1 - admin panel</t>
        </is>
      </c>
      <c r="B8" s="18" t="inlineStr">
        <is>
          <t>https://dev-static-1-admin-panel.musticker.com</t>
        </is>
      </c>
      <c r="C8" s="25" t="inlineStr">
        <is>
          <t>environments.ts</t>
        </is>
      </c>
      <c r="D8" s="25" t="inlineStr">
        <is>
          <t>All admin cases that change data run here. Session file .auth/admin-static-1.json.</t>
        </is>
      </c>
    </row>
    <row r="9" ht="24" customHeight="1">
      <c r="A9" s="12" t="inlineStr">
        <is>
          <t>static-2 .. static-8</t>
        </is>
      </c>
      <c r="B9" s="18" t="inlineStr">
        <is>
          <t>dev-static-2 .. dev-static-8.musticker.com (+ dev-static-N-api and dev-static-N-admin-panel hosts)</t>
        </is>
      </c>
      <c r="C9" s="25" t="inlineStr">
        <is>
          <t>environments.ts</t>
        </is>
      </c>
      <c r="D9" s="25" t="inlineStr">
        <is>
          <t>Storefront; pricing ids recorded for static-2 only. Admin panels exist but order-changing specs refuse them. static-2 was formerly development-static-2. development-1..4 (dev., dev-2/3/4.) were retired on 2026-09-25.</t>
        </is>
      </c>
    </row>
    <row r="10">
      <c r="A10" s="7" t="inlineStr">
        <is>
          <t>ACCOUNTS</t>
        </is>
      </c>
      <c r="B10" s="8" t="n"/>
      <c r="C10" s="8" t="n"/>
      <c r="D10" s="8" t="n"/>
    </row>
    <row r="11" ht="24" customHeight="1">
      <c r="A11" s="12" t="inlineStr">
        <is>
          <t>Seeded member</t>
        </is>
      </c>
      <c r="B11" s="18" t="inlineStr">
        <is>
          <t>AUTH_TEST_EMAIL / AUTH_TEST_PASSWORD</t>
        </is>
      </c>
      <c r="C11" s="25" t="inlineStr">
        <is>
          <t>.env / CI secrets</t>
        </is>
      </c>
      <c r="D11" s="25" t="inlineStr">
        <is>
          <t>Must exist on the server under test (each dev server has its own users). On dev-static-1 it is also the customer of the admin seed orders.</t>
        </is>
      </c>
    </row>
    <row r="12" ht="24" customHeight="1">
      <c r="A12" s="12" t="inlineStr">
        <is>
          <t>Admin account</t>
        </is>
      </c>
      <c r="B12" s="18" t="inlineStr">
        <is>
          <t>ADMIN_EMAIL (optional prefill for admin:login)</t>
        </is>
      </c>
      <c r="C12" s="25" t="inlineStr">
        <is>
          <t>.env</t>
        </is>
      </c>
      <c r="D12" s="25" t="inlineStr">
        <is>
          <t>Session saved to .auth/admin-&lt;env&gt;.json by npm run admin:login. Verification code goes to sales@musticker.com. One active session per account.</t>
        </is>
      </c>
    </row>
    <row r="13" ht="24" customHeight="1">
      <c r="A13" s="12" t="inlineStr">
        <is>
          <t>Guest / throwaway accounts</t>
        </is>
      </c>
      <c r="B13" s="18" t="inlineStr">
        <is>
          <t>mail.tm disposable inbox per test</t>
        </is>
      </c>
      <c r="C13" s="25" t="inlineStr">
        <is>
          <t>mail-tm.ts</t>
        </is>
      </c>
      <c r="D13" s="25" t="inlineStr">
        <is>
          <t>Receives OTP and order-confirmation emails. Created accounts are recorded in .auth/created-accounts.jsonl and deleted by the teardown.</t>
        </is>
      </c>
    </row>
    <row r="14">
      <c r="A14" s="7" t="inlineStr">
        <is>
          <t>ADMIN SEED ORDERS (MS-ADMO-001, static-1)</t>
        </is>
      </c>
      <c r="B14" s="8" t="n"/>
      <c r="C14" s="8" t="n"/>
      <c r="D14" s="8" t="n"/>
    </row>
    <row r="15" ht="24" customHeight="1">
      <c r="A15" s="12" t="inlineStr">
        <is>
          <t>Requirement</t>
        </is>
      </c>
      <c r="B15" s="18" t="inlineStr">
        <is>
          <t>Seeded member's order, fully paid, exactly 1 item at 디자인 파일 미제출</t>
        </is>
      </c>
      <c r="C15" s="25" t="inlineStr">
        <is>
          <t>spec precondition</t>
        </is>
      </c>
      <c r="D15" s="25" t="inlineStr">
        <is>
          <t>Each run consumes one: it ends at 주문 완료.</t>
        </is>
      </c>
    </row>
    <row r="16" ht="36" customHeight="1">
      <c r="A16" s="12" t="inlineStr">
        <is>
          <t>Unused candidates (re-checked 2026-10-14)</t>
        </is>
      </c>
      <c r="B16" s="18" t="inlineStr">
        <is>
          <t>AO-2609070006-dev</t>
        </is>
      </c>
      <c r="C16" s="25" t="inlineStr">
        <is>
          <t>admin API</t>
        </is>
      </c>
      <c r="D16" s="25" t="inlineStr">
        <is>
          <t>Re-check before use - other testers share the server. Checked on the customer's order page on 2026-10-14: paid, one item, 디자인 파일 미제출. The only one left: place more seed orders by hand.</t>
        </is>
      </c>
    </row>
    <row r="17">
      <c r="A17" s="12" t="inlineStr">
        <is>
          <t>Already consumed</t>
        </is>
      </c>
      <c r="B17" s="18" t="inlineStr">
        <is>
          <t>AO-2609240008-dev, AO-2609250005-dev, AO-2609180003-dev, AO-2609090017-dev, AO-2609180004-dev</t>
        </is>
      </c>
      <c r="C17" s="25" t="inlineStr">
        <is>
          <t>exploration 2026-09-25; MS-ADMO-001 2026-10-14; other testers</t>
        </is>
      </c>
      <c r="D17" s="25" t="inlineStr">
        <is>
          <t>AO-2609240008/2609250005: walked by hand 2026-09-25. AO-2609180003/2609090017: MS-ADMO-001 runs 2026-10-14. AO-2609180004: found at 승인 대기 on 2026-10-14 (used by someone else). Not usable: AO-2609070004-dev and AO-2609070005-dev have two items each.</t>
        </is>
      </c>
    </row>
    <row r="18">
      <c r="A18" s="7" t="inlineStr">
        <is>
          <t>PRODUCTS AND VALUES</t>
        </is>
      </c>
      <c r="B18" s="8" t="n"/>
      <c r="C18" s="8" t="n"/>
      <c r="D18" s="8" t="n"/>
    </row>
    <row r="19" ht="24" customHeight="1">
      <c r="A19" s="12" t="inlineStr">
        <is>
          <t>Reference product</t>
        </is>
      </c>
      <c r="B19" s="18" t="inlineStr">
        <is>
          <t>자유형 조각스티커 (die-cut-sticker), 75x75mm, 100개</t>
        </is>
      </c>
      <c r="C19" s="25" t="inlineStr">
        <is>
          <t>storefront-data.ts v2Products</t>
        </is>
      </c>
      <c r="D19" s="25" t="inlineStr">
        <is>
          <t>Used by checkout and money-path flows.</t>
        </is>
      </c>
    </row>
    <row r="20">
      <c r="A20" s="12" t="inlineStr">
        <is>
          <t>Free-shipping threshold</t>
        </is>
      </c>
      <c r="B20" s="18" t="inlineStr">
        <is>
          <t>50,000원 (below: 3,000원 shipping)</t>
        </is>
      </c>
      <c r="C20" s="25" t="inlineStr">
        <is>
          <t>storefront-data.ts</t>
        </is>
      </c>
      <c r="D20" s="25" t="inlineStr">
        <is>
          <t>MS-CHK-005 / MS-CHK-006.</t>
        </is>
      </c>
    </row>
    <row r="21">
      <c r="A21" s="12" t="inlineStr">
        <is>
          <t>Price tables</t>
        </is>
      </c>
      <c r="B21" s="18" t="inlineStr">
        <is>
          <t>tests/fixtures/pricing/&lt;category&gt;/&lt;product&gt;.csv</t>
        </is>
      </c>
      <c r="C21" s="25" t="inlineStr">
        <is>
          <t>staff-maintained</t>
        </is>
      </c>
      <c r="D21" s="25" t="inlineStr">
        <is>
          <t>Pricing table ids differ per server (pricing-products.ts).</t>
        </is>
      </c>
    </row>
    <row r="22" ht="24" customHeight="1">
      <c r="A22" s="12" t="inlineStr">
        <is>
          <t>Tracking number format</t>
        </is>
      </c>
      <c r="B22" s="18" t="inlineStr">
        <is>
          <t>16 characters, typed without dashes (e.g. QATE + 12 digits)</t>
        </is>
      </c>
      <c r="C22" s="25" t="inlineStr">
        <is>
          <t>admin-data.ts qaTrackingNumber</t>
        </is>
      </c>
      <c r="D22" s="25" t="inlineStr">
        <is>
          <t>The admin input reformats input to 4-4-4-4.</t>
        </is>
      </c>
    </row>
    <row r="23">
      <c r="A23" s="7" t="inlineStr">
        <is>
          <t>FILES</t>
        </is>
      </c>
      <c r="B23" s="8" t="n"/>
      <c r="C23" s="8" t="n"/>
      <c r="D23" s="8" t="n"/>
    </row>
    <row r="24">
      <c r="A24" s="12" t="inlineStr">
        <is>
          <t>Customer design file</t>
        </is>
      </c>
      <c r="B24" s="18" t="inlineStr">
        <is>
          <t>tests/fixtures/files/sample-design.png</t>
        </is>
      </c>
      <c r="C24" s="25" t="inlineStr">
        <is>
          <t>repo</t>
        </is>
      </c>
      <c r="D24" s="25" t="inlineStr">
        <is>
          <t>Uploaded from the product dialog or the order page.</t>
        </is>
      </c>
    </row>
    <row r="25">
      <c r="A25" s="12" t="inlineStr">
        <is>
          <t>Admin proof image</t>
        </is>
      </c>
      <c r="B25" s="18" t="inlineStr">
        <is>
          <t>tests/fixtures/files/qa-proof.png (transparent 200x200 PNG)</t>
        </is>
      </c>
      <c r="C25" s="25" t="inlineStr">
        <is>
          <t>repo</t>
        </is>
      </c>
      <c r="D25" s="25" t="inlineStr">
        <is>
          <t>The proof upload accepts .png with a transparent background only.</t>
        </is>
      </c>
    </row>
    <row r="26" ht="24" customHeight="1">
      <c r="A26" s="12" t="inlineStr">
        <is>
          <t>Studio design image</t>
        </is>
      </c>
      <c r="B26" s="18" t="inlineStr">
        <is>
          <t>tests/fixtures/files/studio-design.png (1,200x1,200 transparent PNG)</t>
        </is>
      </c>
      <c r="C26" s="25" t="inlineStr">
        <is>
          <t>repo</t>
        </is>
      </c>
      <c r="D26" s="25" t="inlineStr">
        <is>
          <t>Print quality in the design studio (about 400dpi at 75mm). sample-design.png is a 67-byte 1x1 PNG that only works where the server takes the file without decoding it; the studio cannot open it.</t>
        </is>
      </c>
    </row>
    <row r="27">
      <c r="A27" s="12" t="inlineStr">
        <is>
          <t>Guest checkout profile</t>
        </is>
      </c>
      <c r="B27" s="18" t="inlineStr">
        <is>
          <t>postal code 06168, 서울 강남구, 010-1234-5678 (fictional)</t>
        </is>
      </c>
      <c r="C27" s="25" t="inlineStr">
        <is>
          <t>storefront-data.ts guestCheckoutProfile</t>
        </is>
      </c>
      <c r="D27" s="25" t="inlineStr">
        <is>
          <t>No real personal data.</t>
        </is>
      </c>
    </row>
  </sheetData>
  <pageMargins left="0.75" right="0.75" top="1" bottom="1" header="0.5" footer="0.5"/>
</worksheet>
</file>

<file path=xl/worksheets/sheet6.xml><?xml version="1.0" encoding="utf-8"?>
<worksheet xmlns="http://schemas.openxmlformats.org/spreadsheetml/2006/main">
  <sheetPr>
    <outlinePr summaryBelow="1" summaryRight="1"/>
    <pageSetUpPr/>
  </sheetPr>
  <dimension ref="A1:G39"/>
  <sheetViews>
    <sheetView zoomScale="90" workbookViewId="0">
      <selection activeCell="A1" sqref="A1"/>
    </sheetView>
  </sheetViews>
  <sheetFormatPr baseColWidth="8" defaultRowHeight="15"/>
  <cols>
    <col width="30" customWidth="1" min="1" max="1"/>
    <col width="9" customWidth="1" min="2" max="2"/>
    <col width="18" customWidth="1" min="3" max="3"/>
    <col width="44" customWidth="1" min="4" max="4"/>
    <col width="18" customWidth="1" min="5" max="5"/>
    <col width="36" customWidth="1" min="6" max="6"/>
    <col width="46" customWidth="1" min="7" max="7"/>
  </cols>
  <sheetData>
    <row r="1" ht="19.5" customHeight="1">
      <c r="A1" s="1" t="inlineStr">
        <is>
          <t>Business Rules</t>
        </is>
      </c>
    </row>
    <row r="2">
      <c r="A2" s="2" t="inlineStr">
        <is>
          <t>Verified by hand on static-1 (dev-static-1) on 2026-09-25 (AO-2609240008-dev, AO-2609250005-dev) and re-checked by MS-ADMO-001 on 2026-10-14 (AO-2609180003-dev, AO-2609090017-dev). The reference when a case and the product disagree.</t>
        </is>
      </c>
    </row>
    <row r="4">
      <c r="A4" s="7" t="inlineStr">
        <is>
          <t>PART 1 - Order processing lifecycle, in order</t>
        </is>
      </c>
      <c r="B4" s="8" t="n"/>
      <c r="C4" s="8" t="n"/>
      <c r="D4" s="8" t="n"/>
      <c r="E4" s="8" t="n"/>
      <c r="F4" s="8" t="n"/>
      <c r="G4" s="8" t="n"/>
    </row>
    <row r="5" ht="25.5" customHeight="1">
      <c r="A5" s="6" t="inlineStr">
        <is>
          <t>Stage (item status)</t>
        </is>
      </c>
      <c r="B5" s="6" t="inlineStr">
        <is>
          <t>Code</t>
        </is>
      </c>
      <c r="C5" s="6" t="inlineStr">
        <is>
          <t>Who moves it here</t>
        </is>
      </c>
      <c r="D5" s="6" t="inlineStr">
        <is>
          <t>How (button / action)</t>
        </is>
      </c>
      <c r="E5" s="6" t="inlineStr">
        <is>
          <t>Order status</t>
        </is>
      </c>
      <c r="F5" s="6" t="inlineStr">
        <is>
          <t>Customer sees</t>
        </is>
      </c>
      <c r="G5" s="6" t="inlineStr">
        <is>
          <t>Notes</t>
        </is>
      </c>
    </row>
    <row r="6">
      <c r="A6" s="12" t="inlineStr">
        <is>
          <t>디자인 파일 미제출</t>
        </is>
      </c>
      <c r="B6" s="25" t="inlineStr">
        <is>
          <t>id 1</t>
        </is>
      </c>
      <c r="C6" s="25" t="inlineStr">
        <is>
          <t>-</t>
        </is>
      </c>
      <c r="D6" s="25" t="inlineStr">
        <is>
          <t>Order paid without a design</t>
        </is>
      </c>
      <c r="E6" s="25" t="inlineStr">
        <is>
          <t>제작 전 (BP)</t>
        </is>
      </c>
      <c r="F6" s="25" t="inlineStr">
        <is>
          <t>Button 디자인 파일 업로드</t>
        </is>
      </c>
      <c r="G6" s="25" t="inlineStr">
        <is>
          <t>No activity entries yet.</t>
        </is>
      </c>
    </row>
    <row r="7" ht="36" customHeight="1">
      <c r="A7" s="12" t="inlineStr">
        <is>
          <t>디자인 파일 제출 완료</t>
        </is>
      </c>
      <c r="B7" s="25" t="inlineStr">
        <is>
          <t>SA</t>
        </is>
      </c>
      <c r="C7" s="25" t="inlineStr">
        <is>
          <t>Customer</t>
        </is>
      </c>
      <c r="D7" s="25" t="inlineStr">
        <is>
          <t>Storefront order page: 디자인 파일 업로드 -&gt; 파일 선택 -&gt; 업로드하기 (or attach at product page: 파일로 주문하기)</t>
        </is>
      </c>
      <c r="E7" s="25" t="inlineStr">
        <is>
          <t>제작 전 (BP)</t>
        </is>
      </c>
      <c r="F7" s="25" t="inlineStr">
        <is>
          <t>Button 디자인 파일 교체</t>
        </is>
      </c>
      <c r="G7" s="25" t="inlineStr">
        <is>
          <t>Resubmission is logged as event artwork-updated.</t>
        </is>
      </c>
    </row>
    <row r="8" ht="24" customHeight="1">
      <c r="A8" s="12" t="inlineStr">
        <is>
          <t>디자인 파일 검토 중</t>
        </is>
      </c>
      <c r="B8" s="25" t="inlineStr">
        <is>
          <t>CA</t>
        </is>
      </c>
      <c r="C8" s="25" t="inlineStr">
        <is>
          <t>Staff</t>
        </is>
      </c>
      <c r="D8" s="25" t="inlineStr">
        <is>
          <t>Item drawer: Make Evaluation (clicking alone sets this)</t>
        </is>
      </c>
      <c r="E8" s="25" t="inlineStr">
        <is>
          <t>제작 전 (BP)</t>
        </is>
      </c>
      <c r="F8" s="25" t="inlineStr">
        <is>
          <t>Status 디자인 파일 검토 중</t>
        </is>
      </c>
      <c r="G8" s="25" t="n"/>
    </row>
    <row r="9" ht="24" customHeight="1">
      <c r="A9" s="12" t="inlineStr">
        <is>
          <t>검토 반려</t>
        </is>
      </c>
      <c r="B9" s="25" t="inlineStr">
        <is>
          <t>FE</t>
        </is>
      </c>
      <c r="C9" s="25" t="inlineStr">
        <is>
          <t>Staff</t>
        </is>
      </c>
      <c r="D9" s="25" t="inlineStr">
        <is>
          <t>Evaluation panel: Failed + required feedback -&gt; Submit Evaluation</t>
        </is>
      </c>
      <c r="E9" s="25" t="inlineStr">
        <is>
          <t>제작 전 (BP)</t>
        </is>
      </c>
      <c r="F9" s="25" t="inlineStr">
        <is>
          <t>Button 디자인 파일 재접수; dialog shows 담당자 의견</t>
        </is>
      </c>
      <c r="G9" s="25" t="inlineStr">
        <is>
          <t>The toggle DEFAULTS to Failed (MUS-QA-005). Next: Re-Evaluate.</t>
        </is>
      </c>
    </row>
    <row r="10">
      <c r="A10" s="12" t="inlineStr">
        <is>
          <t>검토 승인</t>
        </is>
      </c>
      <c r="B10" s="25" t="inlineStr">
        <is>
          <t>PE</t>
        </is>
      </c>
      <c r="C10" s="25" t="inlineStr">
        <is>
          <t>Staff</t>
        </is>
      </c>
      <c r="D10" s="25" t="inlineStr">
        <is>
          <t>Evaluation panel: Passed -&gt; Submit Evaluation</t>
        </is>
      </c>
      <c r="E10" s="25" t="inlineStr">
        <is>
          <t>제작 전 (BP)</t>
        </is>
      </c>
      <c r="F10" s="25" t="inlineStr">
        <is>
          <t>Status 검토 승인</t>
        </is>
      </c>
      <c r="G10" s="25" t="inlineStr">
        <is>
          <t>Drawer now offers the Final Proof upload.</t>
        </is>
      </c>
    </row>
    <row r="11" ht="24" customHeight="1">
      <c r="A11" s="12" t="inlineStr">
        <is>
          <t>승인 대기</t>
        </is>
      </c>
      <c r="B11" s="25" t="inlineStr">
        <is>
          <t>NA</t>
        </is>
      </c>
      <c r="C11" s="25" t="inlineStr">
        <is>
          <t>Staff</t>
        </is>
      </c>
      <c r="D11" s="25" t="inlineStr">
        <is>
          <t>Drawer: upload proof (.png, transparent) + Final Proof Message -&gt; Send Final Proof</t>
        </is>
      </c>
      <c r="E11" s="25" t="inlineStr">
        <is>
          <t>제작 전 (BP)</t>
        </is>
      </c>
      <c r="F11" s="25" t="inlineStr">
        <is>
          <t>Button 최종 시안 확인 -&gt; modal with 수정 요청 / 승인</t>
        </is>
      </c>
      <c r="G11" s="25" t="inlineStr">
        <is>
          <t>'...' menu: Update Final Proof, Send Reminder.</t>
        </is>
      </c>
    </row>
    <row r="12" ht="24" customHeight="1">
      <c r="A12" s="12" t="inlineStr">
        <is>
          <t>최종 승인 완료</t>
        </is>
      </c>
      <c r="B12" s="25" t="inlineStr">
        <is>
          <t>A-FPA</t>
        </is>
      </c>
      <c r="C12" s="25" t="inlineStr">
        <is>
          <t>Customer, or staff on their behalf</t>
        </is>
      </c>
      <c r="D12" s="25" t="inlineStr">
        <is>
          <t>Customer: 승인 -&gt; tick 시안 안내사항을 확인했으며 내용을 이해했습니다. -&gt; 최종 시안 승인. Staff: Approve Proof -&gt; Yes, Approve Proof</t>
        </is>
      </c>
      <c r="E12" s="25" t="inlineStr">
        <is>
          <t>제작 전 (BP)</t>
        </is>
      </c>
      <c r="F12" s="25" t="inlineStr">
        <is>
          <t>Status 최종 승인 완료</t>
        </is>
      </c>
      <c r="G12" s="25" t="inlineStr">
        <is>
          <t>Popup says the order moves to 제작 대기, and it stays 제작 전 (MUS-QA-004 fixed by 2026-10-14). Staff can Undo Approval. Label was 승인 완료 - 제작 승인 대기 until early October 2026.</t>
        </is>
      </c>
    </row>
    <row r="13" ht="24" customHeight="1">
      <c r="A13" s="12" t="inlineStr">
        <is>
          <t>주문 준비 중</t>
        </is>
      </c>
      <c r="B13" s="25" t="inlineStr">
        <is>
          <t>PO</t>
        </is>
      </c>
      <c r="C13" s="25" t="inlineStr">
        <is>
          <t>-</t>
        </is>
      </c>
      <c r="D13" s="25" t="inlineStr">
        <is>
          <t>Retired: Move to Production was removed by 2026-10-14</t>
        </is>
      </c>
      <c r="E13" s="25" t="inlineStr">
        <is>
          <t>-</t>
        </is>
      </c>
      <c r="F13" s="25" t="inlineStr">
        <is>
          <t>-</t>
        </is>
      </c>
      <c r="G13" s="25" t="inlineStr">
        <is>
          <t>Mark as Printing now moves the item from A-FPA straight to P.</t>
        </is>
      </c>
    </row>
    <row r="14" ht="24" customHeight="1">
      <c r="A14" s="12" t="inlineStr">
        <is>
          <t>인쇄 진행 중</t>
        </is>
      </c>
      <c r="B14" s="25" t="inlineStr">
        <is>
          <t>P</t>
        </is>
      </c>
      <c r="C14" s="25" t="inlineStr">
        <is>
          <t>Staff</t>
        </is>
      </c>
      <c r="D14" s="25" t="inlineStr">
        <is>
          <t>Header: Mark as Printing -&gt; Yes, Mark as Printing (the first staff action after approval)</t>
        </is>
      </c>
      <c r="E14" s="25" t="inlineStr">
        <is>
          <t>제작 진행 중 (FP)</t>
        </is>
      </c>
      <c r="F14" s="25" t="inlineStr">
        <is>
          <t>-</t>
        </is>
      </c>
      <c r="G14" s="25" t="inlineStr">
        <is>
          <t>Also moves the order 제작 전 -&gt; 제작 진행 중. Allowed even with a refund pending (MUS-QA-006). Dialog says no further changes can be made, but Add Item / edit stay available (MUS-QA-002).</t>
        </is>
      </c>
    </row>
    <row r="15" ht="24" customHeight="1">
      <c r="A15" s="12" t="inlineStr">
        <is>
          <t>출고 준비 완료</t>
        </is>
      </c>
      <c r="B15" s="25" t="inlineStr">
        <is>
          <t>RS</t>
        </is>
      </c>
      <c r="C15" s="25" t="inlineStr">
        <is>
          <t>Staff</t>
        </is>
      </c>
      <c r="D15" s="25" t="inlineStr">
        <is>
          <t>Header: Add Tracking Number -&gt; type number -&gt; Add Tracking -&gt; Close</t>
        </is>
      </c>
      <c r="E15" s="25" t="inlineStr">
        <is>
          <t>배송 중 (SP)</t>
        </is>
      </c>
      <c r="F15" s="25" t="inlineStr">
        <is>
          <t>-</t>
        </is>
      </c>
      <c r="G15" s="25" t="inlineStr">
        <is>
          <t>Input reformats to 4-4-4-4.</t>
        </is>
      </c>
    </row>
    <row r="16" ht="24" customHeight="1">
      <c r="A16" s="12" t="inlineStr">
        <is>
          <t>배송 중</t>
        </is>
      </c>
      <c r="B16" s="25" t="inlineStr">
        <is>
          <t>OD</t>
        </is>
      </c>
      <c r="C16" s="25" t="inlineStr">
        <is>
          <t>Staff</t>
        </is>
      </c>
      <c r="D16" s="25" t="inlineStr">
        <is>
          <t>Tracking card: Send -&gt; Yes, Send Tracking (emails the customer)</t>
        </is>
      </c>
      <c r="E16" s="25" t="inlineStr">
        <is>
          <t>배송 중 (SP)</t>
        </is>
      </c>
      <c r="F16" s="25" t="inlineStr">
        <is>
          <t>-</t>
        </is>
      </c>
      <c r="G16" s="25" t="n"/>
    </row>
    <row r="17" ht="24" customHeight="1">
      <c r="A17" s="12" t="inlineStr">
        <is>
          <t>배송 완료</t>
        </is>
      </c>
      <c r="B17" s="25" t="inlineStr">
        <is>
          <t>DE</t>
        </is>
      </c>
      <c r="C17" s="25" t="inlineStr">
        <is>
          <t>Staff</t>
        </is>
      </c>
      <c r="D17" s="25" t="inlineStr">
        <is>
          <t>Tracking card: Update -&gt; date -&gt; Update Status</t>
        </is>
      </c>
      <c r="E17" s="25" t="inlineStr">
        <is>
          <t>주문 완료 (CP)</t>
        </is>
      </c>
      <c r="F17" s="25" t="inlineStr">
        <is>
          <t>주문 완료, 배송 조회 link '운송장 번호: &lt;no&gt;', 주문 보류/취소 disabled; listed under 이전 내역</t>
        </is>
      </c>
      <c r="G17" s="25" t="inlineStr">
        <is>
          <t>Tracking link is malformed ?=&lt;no&gt; (MUS-QA-003). 배송 조회 still says 배송 중입니다 (MUS-QA-010). Listed under 이전 내역 since MUS-QA-007 was fixed.</t>
        </is>
      </c>
    </row>
    <row r="19">
      <c r="A19" s="7" t="inlineStr">
        <is>
          <t>PART 2 - What the order header offers</t>
        </is>
      </c>
      <c r="B19" s="8" t="n"/>
      <c r="C19" s="8" t="n"/>
      <c r="D19" s="8" t="n"/>
      <c r="E19" s="8" t="n"/>
      <c r="F19" s="8" t="n"/>
      <c r="G19" s="8" t="n"/>
    </row>
    <row r="20" ht="25.5" customHeight="1">
      <c r="A20" s="6" t="inlineStr">
        <is>
          <t>Order status</t>
        </is>
      </c>
      <c r="B20" s="6" t="inlineStr">
        <is>
          <t>Code</t>
        </is>
      </c>
      <c r="C20" s="6" t="inlineStr">
        <is>
          <t>Header primary action</t>
        </is>
      </c>
      <c r="D20" s="6" t="inlineStr">
        <is>
          <t>Status dropdown offers</t>
        </is>
      </c>
      <c r="E20" s="6" t="n"/>
      <c r="F20" s="6" t="n"/>
      <c r="G20" s="6" t="inlineStr">
        <is>
          <t>Notes</t>
        </is>
      </c>
    </row>
    <row r="21" ht="36" customHeight="1">
      <c r="A21" s="12" t="inlineStr">
        <is>
          <t>제작 전</t>
        </is>
      </c>
      <c r="B21" s="25" t="inlineStr">
        <is>
          <t>BP</t>
        </is>
      </c>
      <c r="C21" s="25" t="inlineStr">
        <is>
          <t>Mark as Printing (once every item is approved)</t>
        </is>
      </c>
      <c r="D21" s="25" t="inlineStr">
        <is>
          <t>주문 보류, 응답 대기, 주문 취소</t>
        </is>
      </c>
      <c r="E21" s="25" t="n"/>
      <c r="F21" s="25" t="n"/>
      <c r="G21" s="25" t="inlineStr">
        <is>
          <t>The dropdown never moves an order forward.</t>
        </is>
      </c>
    </row>
    <row r="22" ht="36" customHeight="1">
      <c r="A22" s="12" t="inlineStr">
        <is>
          <t>제작 진행 중</t>
        </is>
      </c>
      <c r="B22" s="25" t="inlineStr">
        <is>
          <t>FP</t>
        </is>
      </c>
      <c r="C22" s="25" t="inlineStr">
        <is>
          <t>Add Tracking Number</t>
        </is>
      </c>
      <c r="D22" s="25" t="inlineStr">
        <is>
          <t>주문 보류 (+ 응답 대기, 주문 취소 before printing)</t>
        </is>
      </c>
      <c r="E22" s="25" t="n"/>
      <c r="F22" s="25" t="n"/>
      <c r="G22" s="25" t="n"/>
    </row>
    <row r="23" ht="24" customHeight="1">
      <c r="A23" s="12" t="inlineStr">
        <is>
          <t>배송 중</t>
        </is>
      </c>
      <c r="B23" s="25" t="inlineStr">
        <is>
          <t>SP</t>
        </is>
      </c>
      <c r="C23" s="25" t="inlineStr">
        <is>
          <t>Add Tracking Number</t>
        </is>
      </c>
      <c r="D23" s="25" t="inlineStr">
        <is>
          <t>주문 보류</t>
        </is>
      </c>
      <c r="E23" s="25" t="n"/>
      <c r="F23" s="25" t="n"/>
      <c r="G23" s="25" t="n"/>
    </row>
    <row r="24">
      <c r="A24" s="12" t="inlineStr">
        <is>
          <t>주문 완료</t>
        </is>
      </c>
      <c r="B24" s="25" t="inlineStr">
        <is>
          <t>CP</t>
        </is>
      </c>
      <c r="C24" s="25" t="inlineStr">
        <is>
          <t>(none)</t>
        </is>
      </c>
      <c r="D24" s="25" t="inlineStr">
        <is>
          <t>(none)</t>
        </is>
      </c>
      <c r="E24" s="25" t="n"/>
      <c r="F24" s="25" t="n"/>
      <c r="G24" s="25" t="n"/>
    </row>
    <row r="26">
      <c r="A26" s="7" t="inlineStr">
        <is>
          <t>PART 3 - Sheet sticker packing (A5 sheet, 148x210mm)</t>
        </is>
      </c>
      <c r="B26" s="8" t="n"/>
      <c r="C26" s="8" t="n"/>
      <c r="D26" s="8" t="n"/>
      <c r="E26" s="8" t="n"/>
      <c r="F26" s="8" t="n"/>
      <c r="G26" s="8" t="n"/>
    </row>
    <row r="27">
      <c r="A27" s="12" t="inlineStr">
        <is>
          <t>Columns</t>
        </is>
      </c>
      <c r="B27" s="25" t="inlineStr">
        <is>
          <t>floor((148 - 5) / (Width + 5))</t>
        </is>
      </c>
      <c r="C27" s="26" t="n"/>
      <c r="D27" s="26" t="n"/>
      <c r="E27" s="26" t="n"/>
      <c r="F27" s="26" t="n"/>
      <c r="G27" s="27" t="n"/>
    </row>
    <row r="28">
      <c r="A28" s="12" t="inlineStr">
        <is>
          <t>Rows</t>
        </is>
      </c>
      <c r="B28" s="25" t="inlineStr">
        <is>
          <t>floor((210 - 5) / (Height + 5))</t>
        </is>
      </c>
      <c r="C28" s="26" t="n"/>
      <c r="D28" s="26" t="n"/>
      <c r="E28" s="26" t="n"/>
      <c r="F28" s="26" t="n"/>
      <c r="G28" s="27" t="n"/>
    </row>
    <row r="29">
      <c r="A29" s="12" t="inlineStr">
        <is>
          <t>Stickers per sheet</t>
        </is>
      </c>
      <c r="B29" s="25" t="inlineStr">
        <is>
          <t>Columns x Rows; a size is orderable only if it packs at least 2</t>
        </is>
      </c>
      <c r="C29" s="26" t="n"/>
      <c r="D29" s="26" t="n"/>
      <c r="E29" s="26" t="n"/>
      <c r="F29" s="26" t="n"/>
      <c r="G29" s="27" t="n"/>
    </row>
    <row r="30">
      <c r="A30" s="12" t="inlineStr">
        <is>
          <t>The gate</t>
        </is>
      </c>
      <c r="B30" s="25" t="inlineStr">
        <is>
          <t>138 x 97 mm is the largest orderable size; 139 wide or 98 tall packs fewer than 2</t>
        </is>
      </c>
      <c r="C30" s="26" t="n"/>
      <c r="D30" s="26" t="n"/>
      <c r="E30" s="26" t="n"/>
      <c r="F30" s="26" t="n"/>
      <c r="G30" s="27" t="n"/>
    </row>
    <row r="31">
      <c r="A31" s="12" t="inlineStr">
        <is>
          <t>Presets circle / square / rounded</t>
        </is>
      </c>
      <c r="B31" s="25" t="inlineStr">
        <is>
          <t>30x30, 50x50, 75x75, 90x90 (소형, 중형, 대형, 초대형)</t>
        </is>
      </c>
      <c r="C31" s="26" t="n"/>
      <c r="D31" s="26" t="n"/>
      <c r="E31" s="26" t="n"/>
      <c r="F31" s="26" t="n"/>
      <c r="G31" s="27" t="n"/>
    </row>
    <row r="32">
      <c r="A32" s="12" t="inlineStr">
        <is>
          <t>Presets oval / rectangle</t>
        </is>
      </c>
      <c r="B32" s="25" t="inlineStr">
        <is>
          <t>40x20, 50x30, 75x50, 90x60</t>
        </is>
      </c>
      <c r="C32" s="26" t="n"/>
      <c r="D32" s="26" t="n"/>
      <c r="E32" s="26" t="n"/>
      <c r="F32" s="26" t="n"/>
      <c r="G32" s="27" t="n"/>
    </row>
    <row r="33">
      <c r="A33" s="12" t="inlineStr">
        <is>
          <t>Rejection</t>
        </is>
      </c>
      <c r="B33" s="25" t="inlineStr">
        <is>
          <t>All quantity tiers show 0원, 다음 단계 disabled, message contains '한 시트에 최소 2개의 스티커' (height-only violations get an axis-specific wording)</t>
        </is>
      </c>
      <c r="C33" s="26" t="n"/>
      <c r="D33" s="26" t="n"/>
      <c r="E33" s="26" t="n"/>
      <c r="F33" s="26" t="n"/>
      <c r="G33" s="27" t="n"/>
    </row>
    <row r="35">
      <c r="A35" s="7" t="inlineStr">
        <is>
          <t>PART 4 - Money</t>
        </is>
      </c>
      <c r="B35" s="8" t="n"/>
      <c r="C35" s="8" t="n"/>
      <c r="D35" s="8" t="n"/>
      <c r="E35" s="8" t="n"/>
      <c r="F35" s="8" t="n"/>
      <c r="G35" s="8" t="n"/>
    </row>
    <row r="36">
      <c r="A36" s="12" t="inlineStr">
        <is>
          <t>Checkout identity</t>
        </is>
      </c>
      <c r="B36" s="25" t="inlineStr">
        <is>
          <t>소계 + 배송비 - 포인트 할인 - 쿠폰 할인 = 합계</t>
        </is>
      </c>
      <c r="C36" s="26" t="n"/>
      <c r="D36" s="26" t="n"/>
      <c r="E36" s="26" t="n"/>
      <c r="F36" s="26" t="n"/>
      <c r="G36" s="27" t="n"/>
    </row>
    <row r="37">
      <c r="A37" s="12" t="inlineStr">
        <is>
          <t>Shipping</t>
        </is>
      </c>
      <c r="B37" s="25" t="inlineStr">
        <is>
          <t>Orders under 50,000원 pay 3,000원 standard shipping; 50,000원 and over ship free</t>
        </is>
      </c>
      <c r="C37" s="26" t="n"/>
      <c r="D37" s="26" t="n"/>
      <c r="E37" s="26" t="n"/>
      <c r="F37" s="26" t="n"/>
      <c r="G37" s="27" t="n"/>
    </row>
    <row r="38">
      <c r="A38" s="12" t="inlineStr">
        <is>
          <t>Per-unit price</t>
        </is>
      </c>
      <c r="B38" s="25" t="inlineStr">
        <is>
          <t>Fractional won readouts (e.g. 1매당 8.582원) are intended (confirmed 2026-08-13)</t>
        </is>
      </c>
      <c r="C38" s="26" t="n"/>
      <c r="D38" s="26" t="n"/>
      <c r="E38" s="26" t="n"/>
      <c r="F38" s="26" t="n"/>
      <c r="G38" s="27" t="n"/>
    </row>
    <row r="39">
      <c r="A39" s="12" t="inlineStr">
        <is>
          <t>Refund-related</t>
        </is>
      </c>
      <c r="B39" s="25" t="inlineStr">
        <is>
          <t>Reducing an item after payment sets payment status 환불 관련 and shows a Refundable Amount</t>
        </is>
      </c>
      <c r="C39" s="26" t="n"/>
      <c r="D39" s="26" t="n"/>
      <c r="E39" s="26" t="n"/>
      <c r="F39" s="26" t="n"/>
      <c r="G39" s="27" t="n"/>
    </row>
  </sheetData>
  <mergeCells count="11">
    <mergeCell ref="B38:G38"/>
    <mergeCell ref="B28:G28"/>
    <mergeCell ref="B33:G33"/>
    <mergeCell ref="B36:G36"/>
    <mergeCell ref="B37:G37"/>
    <mergeCell ref="B31:G31"/>
    <mergeCell ref="B27:G27"/>
    <mergeCell ref="B32:G32"/>
    <mergeCell ref="B30:G30"/>
    <mergeCell ref="B29:G29"/>
    <mergeCell ref="B39:G39"/>
  </mergeCells>
  <pageMargins left="0.75" right="0.75" top="1" bottom="1" header="0.5" footer="0.5"/>
</worksheet>
</file>

<file path=xl/worksheets/sheet7.xml><?xml version="1.0" encoding="utf-8"?>
<worksheet xmlns="http://schemas.openxmlformats.org/spreadsheetml/2006/main">
  <sheetPr>
    <outlinePr summaryBelow="1" summaryRight="1"/>
    <pageSetUpPr/>
  </sheetPr>
  <dimension ref="A1:M45"/>
  <sheetViews>
    <sheetView zoomScale="90" workbookViewId="0">
      <selection activeCell="A1" sqref="A1"/>
    </sheetView>
  </sheetViews>
  <sheetFormatPr baseColWidth="8" defaultRowHeight="15"/>
  <cols>
    <col width="36" customWidth="1" min="1" max="1"/>
    <col width="9" customWidth="1" min="2" max="2"/>
    <col width="10" customWidth="1" min="3" max="3"/>
    <col width="9" customWidth="1" min="4" max="5"/>
    <col width="10" customWidth="1" min="6" max="6"/>
    <col width="9" customWidth="1" min="7" max="7"/>
    <col width="8" customWidth="1" min="8" max="8"/>
    <col width="12" customWidth="1" min="9" max="9"/>
    <col width="16" customWidth="1" min="10" max="10"/>
    <col width="12" customWidth="1" min="11" max="11"/>
    <col width="10" customWidth="1" min="12" max="12"/>
    <col width="11" customWidth="1" min="13" max="13"/>
  </cols>
  <sheetData>
    <row r="1" ht="19.5" customHeight="1">
      <c r="A1" s="1" t="inlineStr">
        <is>
          <t>Coverage Summary - live dashboard</t>
        </is>
      </c>
    </row>
    <row r="2">
      <c r="A2" s="2" t="inlineStr">
        <is>
          <t>Every figure is a formula over the Test Cases tab. Enter Result values there and this updates.</t>
        </is>
      </c>
    </row>
    <row r="3"/>
    <row r="4" ht="25.5" customHeight="1">
      <c r="A4" s="6" t="inlineStr">
        <is>
          <t>Area</t>
        </is>
      </c>
      <c r="B4" s="6" t="inlineStr">
        <is>
          <t>Total</t>
        </is>
      </c>
      <c r="C4" s="6" t="inlineStr">
        <is>
          <t>Not Run</t>
        </is>
      </c>
      <c r="D4" s="6" t="inlineStr">
        <is>
          <t>Pass</t>
        </is>
      </c>
      <c r="E4" s="6" t="inlineStr">
        <is>
          <t>Fail</t>
        </is>
      </c>
      <c r="F4" s="6" t="inlineStr">
        <is>
          <t>Blocked</t>
        </is>
      </c>
      <c r="G4" s="6" t="inlineStr">
        <is>
          <t>Partial</t>
        </is>
      </c>
      <c r="H4" s="6" t="inlineStr">
        <is>
          <t>N/A</t>
        </is>
      </c>
      <c r="I4" s="6" t="inlineStr">
        <is>
          <t>Executed %</t>
        </is>
      </c>
      <c r="J4" s="6" t="inlineStr">
        <is>
          <t>Pass % of executed</t>
        </is>
      </c>
      <c r="K4" s="6" t="inlineStr">
        <is>
          <t>Automated</t>
        </is>
      </c>
      <c r="L4" s="6" t="inlineStr">
        <is>
          <t>Planned</t>
        </is>
      </c>
      <c r="M4" s="6" t="inlineStr">
        <is>
          <t>PW Tests</t>
        </is>
      </c>
    </row>
    <row r="5">
      <c r="A5" s="12" t="inlineStr">
        <is>
          <t>1. Smoke &amp; core navigation</t>
        </is>
      </c>
      <c r="B5" s="13">
        <f>COUNTIF('Test Cases'!$C$2:$C$176,$A5)</f>
        <v/>
      </c>
      <c r="C5" s="13">
        <f>COUNTIFS('Test Cases'!$C$2:$C$176,$A5,'Test Cases'!$T$2:$T$176,"Not Run")</f>
        <v/>
      </c>
      <c r="D5" s="13">
        <f>COUNTIFS('Test Cases'!$C$2:$C$176,$A5,'Test Cases'!$T$2:$T$176,"Pass")</f>
        <v/>
      </c>
      <c r="E5" s="13">
        <f>COUNTIFS('Test Cases'!$C$2:$C$176,$A5,'Test Cases'!$T$2:$T$176,"Fail")</f>
        <v/>
      </c>
      <c r="F5" s="13">
        <f>COUNTIFS('Test Cases'!$C$2:$C$176,$A5,'Test Cases'!$T$2:$T$176,"Blocked")</f>
        <v/>
      </c>
      <c r="G5" s="13">
        <f>COUNTIFS('Test Cases'!$C$2:$C$176,$A5,'Test Cases'!$T$2:$T$176,"Partial")</f>
        <v/>
      </c>
      <c r="H5" s="13">
        <f>COUNTIFS('Test Cases'!$C$2:$C$176,$A5,'Test Cases'!$T$2:$T$176,"N/A")</f>
        <v/>
      </c>
      <c r="I5" s="19">
        <f>IFERROR(($B5-$C5-$H5)/($B5-$H5),0)</f>
        <v/>
      </c>
      <c r="J5" s="19">
        <f>IFERROR($D5/($B5-$C5-$H5),0)</f>
        <v/>
      </c>
      <c r="K5" s="13">
        <f>COUNTIFS('Test Cases'!$C$2:$C$176,$A5,'Test Cases'!$L$2:$L$176,"Automated")+COUNTIFS('Test Cases'!$C$2:$C$176,$A5,'Test Cases'!$L$2:$L$176,"Partial")</f>
        <v/>
      </c>
      <c r="L5" s="13">
        <f>COUNTIFS('Test Cases'!$C$2:$C$176,$A5,'Test Cases'!$L$2:$L$176,"Planned")</f>
        <v/>
      </c>
      <c r="M5" s="20">
        <f>SUMIFS('Test Cases'!$R$2:$R$176,'Test Cases'!$C$2:$C$176,$A5)</f>
        <v/>
      </c>
    </row>
    <row r="6">
      <c r="A6" s="12" t="inlineStr">
        <is>
          <t>2. Discovery &amp; content</t>
        </is>
      </c>
      <c r="B6" s="13">
        <f>COUNTIF('Test Cases'!$C$2:$C$176,$A6)</f>
        <v/>
      </c>
      <c r="C6" s="13">
        <f>COUNTIFS('Test Cases'!$C$2:$C$176,$A6,'Test Cases'!$T$2:$T$176,"Not Run")</f>
        <v/>
      </c>
      <c r="D6" s="13">
        <f>COUNTIFS('Test Cases'!$C$2:$C$176,$A6,'Test Cases'!$T$2:$T$176,"Pass")</f>
        <v/>
      </c>
      <c r="E6" s="13">
        <f>COUNTIFS('Test Cases'!$C$2:$C$176,$A6,'Test Cases'!$T$2:$T$176,"Fail")</f>
        <v/>
      </c>
      <c r="F6" s="13">
        <f>COUNTIFS('Test Cases'!$C$2:$C$176,$A6,'Test Cases'!$T$2:$T$176,"Blocked")</f>
        <v/>
      </c>
      <c r="G6" s="13">
        <f>COUNTIFS('Test Cases'!$C$2:$C$176,$A6,'Test Cases'!$T$2:$T$176,"Partial")</f>
        <v/>
      </c>
      <c r="H6" s="13">
        <f>COUNTIFS('Test Cases'!$C$2:$C$176,$A6,'Test Cases'!$T$2:$T$176,"N/A")</f>
        <v/>
      </c>
      <c r="I6" s="19">
        <f>IFERROR(($B6-$C6-$H6)/($B6-$H6),0)</f>
        <v/>
      </c>
      <c r="J6" s="19">
        <f>IFERROR($D6/($B6-$C6-$H6),0)</f>
        <v/>
      </c>
      <c r="K6" s="13">
        <f>COUNTIFS('Test Cases'!$C$2:$C$176,$A6,'Test Cases'!$L$2:$L$176,"Automated")+COUNTIFS('Test Cases'!$C$2:$C$176,$A6,'Test Cases'!$L$2:$L$176,"Partial")</f>
        <v/>
      </c>
      <c r="L6" s="13">
        <f>COUNTIFS('Test Cases'!$C$2:$C$176,$A6,'Test Cases'!$L$2:$L$176,"Planned")</f>
        <v/>
      </c>
      <c r="M6" s="20">
        <f>SUMIFS('Test Cases'!$R$2:$R$176,'Test Cases'!$C$2:$C$176,$A6)</f>
        <v/>
      </c>
    </row>
    <row r="7">
      <c r="A7" s="12" t="inlineStr">
        <is>
          <t>3. Product configuration</t>
        </is>
      </c>
      <c r="B7" s="13">
        <f>COUNTIF('Test Cases'!$C$2:$C$176,$A7)</f>
        <v/>
      </c>
      <c r="C7" s="13">
        <f>COUNTIFS('Test Cases'!$C$2:$C$176,$A7,'Test Cases'!$T$2:$T$176,"Not Run")</f>
        <v/>
      </c>
      <c r="D7" s="13">
        <f>COUNTIFS('Test Cases'!$C$2:$C$176,$A7,'Test Cases'!$T$2:$T$176,"Pass")</f>
        <v/>
      </c>
      <c r="E7" s="13">
        <f>COUNTIFS('Test Cases'!$C$2:$C$176,$A7,'Test Cases'!$T$2:$T$176,"Fail")</f>
        <v/>
      </c>
      <c r="F7" s="13">
        <f>COUNTIFS('Test Cases'!$C$2:$C$176,$A7,'Test Cases'!$T$2:$T$176,"Blocked")</f>
        <v/>
      </c>
      <c r="G7" s="13">
        <f>COUNTIFS('Test Cases'!$C$2:$C$176,$A7,'Test Cases'!$T$2:$T$176,"Partial")</f>
        <v/>
      </c>
      <c r="H7" s="13">
        <f>COUNTIFS('Test Cases'!$C$2:$C$176,$A7,'Test Cases'!$T$2:$T$176,"N/A")</f>
        <v/>
      </c>
      <c r="I7" s="19">
        <f>IFERROR(($B7-$C7-$H7)/($B7-$H7),0)</f>
        <v/>
      </c>
      <c r="J7" s="19">
        <f>IFERROR($D7/($B7-$C7-$H7),0)</f>
        <v/>
      </c>
      <c r="K7" s="13">
        <f>COUNTIFS('Test Cases'!$C$2:$C$176,$A7,'Test Cases'!$L$2:$L$176,"Automated")+COUNTIFS('Test Cases'!$C$2:$C$176,$A7,'Test Cases'!$L$2:$L$176,"Partial")</f>
        <v/>
      </c>
      <c r="L7" s="13">
        <f>COUNTIFS('Test Cases'!$C$2:$C$176,$A7,'Test Cases'!$L$2:$L$176,"Planned")</f>
        <v/>
      </c>
      <c r="M7" s="20">
        <f>SUMIFS('Test Cases'!$R$2:$R$176,'Test Cases'!$C$2:$C$176,$A7)</f>
        <v/>
      </c>
    </row>
    <row r="8">
      <c r="A8" s="12" t="inlineStr">
        <is>
          <t>4. Sheet sticker size rules</t>
        </is>
      </c>
      <c r="B8" s="13">
        <f>COUNTIF('Test Cases'!$C$2:$C$176,$A8)</f>
        <v/>
      </c>
      <c r="C8" s="13">
        <f>COUNTIFS('Test Cases'!$C$2:$C$176,$A8,'Test Cases'!$T$2:$T$176,"Not Run")</f>
        <v/>
      </c>
      <c r="D8" s="13">
        <f>COUNTIFS('Test Cases'!$C$2:$C$176,$A8,'Test Cases'!$T$2:$T$176,"Pass")</f>
        <v/>
      </c>
      <c r="E8" s="13">
        <f>COUNTIFS('Test Cases'!$C$2:$C$176,$A8,'Test Cases'!$T$2:$T$176,"Fail")</f>
        <v/>
      </c>
      <c r="F8" s="13">
        <f>COUNTIFS('Test Cases'!$C$2:$C$176,$A8,'Test Cases'!$T$2:$T$176,"Blocked")</f>
        <v/>
      </c>
      <c r="G8" s="13">
        <f>COUNTIFS('Test Cases'!$C$2:$C$176,$A8,'Test Cases'!$T$2:$T$176,"Partial")</f>
        <v/>
      </c>
      <c r="H8" s="13">
        <f>COUNTIFS('Test Cases'!$C$2:$C$176,$A8,'Test Cases'!$T$2:$T$176,"N/A")</f>
        <v/>
      </c>
      <c r="I8" s="19">
        <f>IFERROR(($B8-$C8-$H8)/($B8-$H8),0)</f>
        <v/>
      </c>
      <c r="J8" s="19">
        <f>IFERROR($D8/($B8-$C8-$H8),0)</f>
        <v/>
      </c>
      <c r="K8" s="13">
        <f>COUNTIFS('Test Cases'!$C$2:$C$176,$A8,'Test Cases'!$L$2:$L$176,"Automated")+COUNTIFS('Test Cases'!$C$2:$C$176,$A8,'Test Cases'!$L$2:$L$176,"Partial")</f>
        <v/>
      </c>
      <c r="L8" s="13">
        <f>COUNTIFS('Test Cases'!$C$2:$C$176,$A8,'Test Cases'!$L$2:$L$176,"Planned")</f>
        <v/>
      </c>
      <c r="M8" s="20">
        <f>SUMIFS('Test Cases'!$R$2:$R$176,'Test Cases'!$C$2:$C$176,$A8)</f>
        <v/>
      </c>
    </row>
    <row r="9">
      <c r="A9" s="12" t="inlineStr">
        <is>
          <t>5. Cart</t>
        </is>
      </c>
      <c r="B9" s="13">
        <f>COUNTIF('Test Cases'!$C$2:$C$176,$A9)</f>
        <v/>
      </c>
      <c r="C9" s="13">
        <f>COUNTIFS('Test Cases'!$C$2:$C$176,$A9,'Test Cases'!$T$2:$T$176,"Not Run")</f>
        <v/>
      </c>
      <c r="D9" s="13">
        <f>COUNTIFS('Test Cases'!$C$2:$C$176,$A9,'Test Cases'!$T$2:$T$176,"Pass")</f>
        <v/>
      </c>
      <c r="E9" s="13">
        <f>COUNTIFS('Test Cases'!$C$2:$C$176,$A9,'Test Cases'!$T$2:$T$176,"Fail")</f>
        <v/>
      </c>
      <c r="F9" s="13">
        <f>COUNTIFS('Test Cases'!$C$2:$C$176,$A9,'Test Cases'!$T$2:$T$176,"Blocked")</f>
        <v/>
      </c>
      <c r="G9" s="13">
        <f>COUNTIFS('Test Cases'!$C$2:$C$176,$A9,'Test Cases'!$T$2:$T$176,"Partial")</f>
        <v/>
      </c>
      <c r="H9" s="13">
        <f>COUNTIFS('Test Cases'!$C$2:$C$176,$A9,'Test Cases'!$T$2:$T$176,"N/A")</f>
        <v/>
      </c>
      <c r="I9" s="19">
        <f>IFERROR(($B9-$C9-$H9)/($B9-$H9),0)</f>
        <v/>
      </c>
      <c r="J9" s="19">
        <f>IFERROR($D9/($B9-$C9-$H9),0)</f>
        <v/>
      </c>
      <c r="K9" s="13">
        <f>COUNTIFS('Test Cases'!$C$2:$C$176,$A9,'Test Cases'!$L$2:$L$176,"Automated")+COUNTIFS('Test Cases'!$C$2:$C$176,$A9,'Test Cases'!$L$2:$L$176,"Partial")</f>
        <v/>
      </c>
      <c r="L9" s="13">
        <f>COUNTIFS('Test Cases'!$C$2:$C$176,$A9,'Test Cases'!$L$2:$L$176,"Planned")</f>
        <v/>
      </c>
      <c r="M9" s="20">
        <f>SUMIFS('Test Cases'!$R$2:$R$176,'Test Cases'!$C$2:$C$176,$A9)</f>
        <v/>
      </c>
    </row>
    <row r="10">
      <c r="A10" s="12" t="inlineStr">
        <is>
          <t>6. Checkout &amp; money path</t>
        </is>
      </c>
      <c r="B10" s="13">
        <f>COUNTIF('Test Cases'!$C$2:$C$176,$A10)</f>
        <v/>
      </c>
      <c r="C10" s="13">
        <f>COUNTIFS('Test Cases'!$C$2:$C$176,$A10,'Test Cases'!$T$2:$T$176,"Not Run")</f>
        <v/>
      </c>
      <c r="D10" s="13">
        <f>COUNTIFS('Test Cases'!$C$2:$C$176,$A10,'Test Cases'!$T$2:$T$176,"Pass")</f>
        <v/>
      </c>
      <c r="E10" s="13">
        <f>COUNTIFS('Test Cases'!$C$2:$C$176,$A10,'Test Cases'!$T$2:$T$176,"Fail")</f>
        <v/>
      </c>
      <c r="F10" s="13">
        <f>COUNTIFS('Test Cases'!$C$2:$C$176,$A10,'Test Cases'!$T$2:$T$176,"Blocked")</f>
        <v/>
      </c>
      <c r="G10" s="13">
        <f>COUNTIFS('Test Cases'!$C$2:$C$176,$A10,'Test Cases'!$T$2:$T$176,"Partial")</f>
        <v/>
      </c>
      <c r="H10" s="13">
        <f>COUNTIFS('Test Cases'!$C$2:$C$176,$A10,'Test Cases'!$T$2:$T$176,"N/A")</f>
        <v/>
      </c>
      <c r="I10" s="19">
        <f>IFERROR(($B10-$C10-$H10)/($B10-$H10),0)</f>
        <v/>
      </c>
      <c r="J10" s="19">
        <f>IFERROR($D10/($B10-$C10-$H10),0)</f>
        <v/>
      </c>
      <c r="K10" s="13">
        <f>COUNTIFS('Test Cases'!$C$2:$C$176,$A10,'Test Cases'!$L$2:$L$176,"Automated")+COUNTIFS('Test Cases'!$C$2:$C$176,$A10,'Test Cases'!$L$2:$L$176,"Partial")</f>
        <v/>
      </c>
      <c r="L10" s="13">
        <f>COUNTIFS('Test Cases'!$C$2:$C$176,$A10,'Test Cases'!$L$2:$L$176,"Planned")</f>
        <v/>
      </c>
      <c r="M10" s="20">
        <f>SUMIFS('Test Cases'!$R$2:$R$176,'Test Cases'!$C$2:$C$176,$A10)</f>
        <v/>
      </c>
    </row>
    <row r="11">
      <c r="A11" s="12" t="inlineStr">
        <is>
          <t>7. Pricing</t>
        </is>
      </c>
      <c r="B11" s="13">
        <f>COUNTIF('Test Cases'!$C$2:$C$176,$A11)</f>
        <v/>
      </c>
      <c r="C11" s="13">
        <f>COUNTIFS('Test Cases'!$C$2:$C$176,$A11,'Test Cases'!$T$2:$T$176,"Not Run")</f>
        <v/>
      </c>
      <c r="D11" s="13">
        <f>COUNTIFS('Test Cases'!$C$2:$C$176,$A11,'Test Cases'!$T$2:$T$176,"Pass")</f>
        <v/>
      </c>
      <c r="E11" s="13">
        <f>COUNTIFS('Test Cases'!$C$2:$C$176,$A11,'Test Cases'!$T$2:$T$176,"Fail")</f>
        <v/>
      </c>
      <c r="F11" s="13">
        <f>COUNTIFS('Test Cases'!$C$2:$C$176,$A11,'Test Cases'!$T$2:$T$176,"Blocked")</f>
        <v/>
      </c>
      <c r="G11" s="13">
        <f>COUNTIFS('Test Cases'!$C$2:$C$176,$A11,'Test Cases'!$T$2:$T$176,"Partial")</f>
        <v/>
      </c>
      <c r="H11" s="13">
        <f>COUNTIFS('Test Cases'!$C$2:$C$176,$A11,'Test Cases'!$T$2:$T$176,"N/A")</f>
        <v/>
      </c>
      <c r="I11" s="19">
        <f>IFERROR(($B11-$C11-$H11)/($B11-$H11),0)</f>
        <v/>
      </c>
      <c r="J11" s="19">
        <f>IFERROR($D11/($B11-$C11-$H11),0)</f>
        <v/>
      </c>
      <c r="K11" s="13">
        <f>COUNTIFS('Test Cases'!$C$2:$C$176,$A11,'Test Cases'!$L$2:$L$176,"Automated")+COUNTIFS('Test Cases'!$C$2:$C$176,$A11,'Test Cases'!$L$2:$L$176,"Partial")</f>
        <v/>
      </c>
      <c r="L11" s="13">
        <f>COUNTIFS('Test Cases'!$C$2:$C$176,$A11,'Test Cases'!$L$2:$L$176,"Planned")</f>
        <v/>
      </c>
      <c r="M11" s="20">
        <f>SUMIFS('Test Cases'!$R$2:$R$176,'Test Cases'!$C$2:$C$176,$A11)</f>
        <v/>
      </c>
    </row>
    <row r="12">
      <c r="A12" s="12" t="inlineStr">
        <is>
          <t>8. Sign-in &amp; registration</t>
        </is>
      </c>
      <c r="B12" s="13">
        <f>COUNTIF('Test Cases'!$C$2:$C$176,$A12)</f>
        <v/>
      </c>
      <c r="C12" s="13">
        <f>COUNTIFS('Test Cases'!$C$2:$C$176,$A12,'Test Cases'!$T$2:$T$176,"Not Run")</f>
        <v/>
      </c>
      <c r="D12" s="13">
        <f>COUNTIFS('Test Cases'!$C$2:$C$176,$A12,'Test Cases'!$T$2:$T$176,"Pass")</f>
        <v/>
      </c>
      <c r="E12" s="13">
        <f>COUNTIFS('Test Cases'!$C$2:$C$176,$A12,'Test Cases'!$T$2:$T$176,"Fail")</f>
        <v/>
      </c>
      <c r="F12" s="13">
        <f>COUNTIFS('Test Cases'!$C$2:$C$176,$A12,'Test Cases'!$T$2:$T$176,"Blocked")</f>
        <v/>
      </c>
      <c r="G12" s="13">
        <f>COUNTIFS('Test Cases'!$C$2:$C$176,$A12,'Test Cases'!$T$2:$T$176,"Partial")</f>
        <v/>
      </c>
      <c r="H12" s="13">
        <f>COUNTIFS('Test Cases'!$C$2:$C$176,$A12,'Test Cases'!$T$2:$T$176,"N/A")</f>
        <v/>
      </c>
      <c r="I12" s="19">
        <f>IFERROR(($B12-$C12-$H12)/($B12-$H12),0)</f>
        <v/>
      </c>
      <c r="J12" s="19">
        <f>IFERROR($D12/($B12-$C12-$H12),0)</f>
        <v/>
      </c>
      <c r="K12" s="13">
        <f>COUNTIFS('Test Cases'!$C$2:$C$176,$A12,'Test Cases'!$L$2:$L$176,"Automated")+COUNTIFS('Test Cases'!$C$2:$C$176,$A12,'Test Cases'!$L$2:$L$176,"Partial")</f>
        <v/>
      </c>
      <c r="L12" s="13">
        <f>COUNTIFS('Test Cases'!$C$2:$C$176,$A12,'Test Cases'!$L$2:$L$176,"Planned")</f>
        <v/>
      </c>
      <c r="M12" s="20">
        <f>SUMIFS('Test Cases'!$R$2:$R$176,'Test Cases'!$C$2:$C$176,$A12)</f>
        <v/>
      </c>
    </row>
    <row r="13">
      <c r="A13" s="12" t="inlineStr">
        <is>
          <t>9. Account &amp; order history</t>
        </is>
      </c>
      <c r="B13" s="13">
        <f>COUNTIF('Test Cases'!$C$2:$C$176,$A13)</f>
        <v/>
      </c>
      <c r="C13" s="13">
        <f>COUNTIFS('Test Cases'!$C$2:$C$176,$A13,'Test Cases'!$T$2:$T$176,"Not Run")</f>
        <v/>
      </c>
      <c r="D13" s="13">
        <f>COUNTIFS('Test Cases'!$C$2:$C$176,$A13,'Test Cases'!$T$2:$T$176,"Pass")</f>
        <v/>
      </c>
      <c r="E13" s="13">
        <f>COUNTIFS('Test Cases'!$C$2:$C$176,$A13,'Test Cases'!$T$2:$T$176,"Fail")</f>
        <v/>
      </c>
      <c r="F13" s="13">
        <f>COUNTIFS('Test Cases'!$C$2:$C$176,$A13,'Test Cases'!$T$2:$T$176,"Blocked")</f>
        <v/>
      </c>
      <c r="G13" s="13">
        <f>COUNTIFS('Test Cases'!$C$2:$C$176,$A13,'Test Cases'!$T$2:$T$176,"Partial")</f>
        <v/>
      </c>
      <c r="H13" s="13">
        <f>COUNTIFS('Test Cases'!$C$2:$C$176,$A13,'Test Cases'!$T$2:$T$176,"N/A")</f>
        <v/>
      </c>
      <c r="I13" s="19">
        <f>IFERROR(($B13-$C13-$H13)/($B13-$H13),0)</f>
        <v/>
      </c>
      <c r="J13" s="19">
        <f>IFERROR($D13/($B13-$C13-$H13),0)</f>
        <v/>
      </c>
      <c r="K13" s="13">
        <f>COUNTIFS('Test Cases'!$C$2:$C$176,$A13,'Test Cases'!$L$2:$L$176,"Automated")+COUNTIFS('Test Cases'!$C$2:$C$176,$A13,'Test Cases'!$L$2:$L$176,"Partial")</f>
        <v/>
      </c>
      <c r="L13" s="13">
        <f>COUNTIFS('Test Cases'!$C$2:$C$176,$A13,'Test Cases'!$L$2:$L$176,"Planned")</f>
        <v/>
      </c>
      <c r="M13" s="20">
        <f>SUMIFS('Test Cases'!$R$2:$R$176,'Test Cases'!$C$2:$C$176,$A13)</f>
        <v/>
      </c>
    </row>
    <row r="14">
      <c r="A14" s="12" t="inlineStr">
        <is>
          <t>10. Inquiry &amp; validation</t>
        </is>
      </c>
      <c r="B14" s="13">
        <f>COUNTIF('Test Cases'!$C$2:$C$176,$A14)</f>
        <v/>
      </c>
      <c r="C14" s="13">
        <f>COUNTIFS('Test Cases'!$C$2:$C$176,$A14,'Test Cases'!$T$2:$T$176,"Not Run")</f>
        <v/>
      </c>
      <c r="D14" s="13">
        <f>COUNTIFS('Test Cases'!$C$2:$C$176,$A14,'Test Cases'!$T$2:$T$176,"Pass")</f>
        <v/>
      </c>
      <c r="E14" s="13">
        <f>COUNTIFS('Test Cases'!$C$2:$C$176,$A14,'Test Cases'!$T$2:$T$176,"Fail")</f>
        <v/>
      </c>
      <c r="F14" s="13">
        <f>COUNTIFS('Test Cases'!$C$2:$C$176,$A14,'Test Cases'!$T$2:$T$176,"Blocked")</f>
        <v/>
      </c>
      <c r="G14" s="13">
        <f>COUNTIFS('Test Cases'!$C$2:$C$176,$A14,'Test Cases'!$T$2:$T$176,"Partial")</f>
        <v/>
      </c>
      <c r="H14" s="13">
        <f>COUNTIFS('Test Cases'!$C$2:$C$176,$A14,'Test Cases'!$T$2:$T$176,"N/A")</f>
        <v/>
      </c>
      <c r="I14" s="19">
        <f>IFERROR(($B14-$C14-$H14)/($B14-$H14),0)</f>
        <v/>
      </c>
      <c r="J14" s="19">
        <f>IFERROR($D14/($B14-$C14-$H14),0)</f>
        <v/>
      </c>
      <c r="K14" s="13">
        <f>COUNTIFS('Test Cases'!$C$2:$C$176,$A14,'Test Cases'!$L$2:$L$176,"Automated")+COUNTIFS('Test Cases'!$C$2:$C$176,$A14,'Test Cases'!$L$2:$L$176,"Partial")</f>
        <v/>
      </c>
      <c r="L14" s="13">
        <f>COUNTIFS('Test Cases'!$C$2:$C$176,$A14,'Test Cases'!$L$2:$L$176,"Planned")</f>
        <v/>
      </c>
      <c r="M14" s="20">
        <f>SUMIFS('Test Cases'!$R$2:$R$176,'Test Cases'!$C$2:$C$176,$A14)</f>
        <v/>
      </c>
    </row>
    <row r="15">
      <c r="A15" s="12" t="inlineStr">
        <is>
          <t>11. Public API</t>
        </is>
      </c>
      <c r="B15" s="13">
        <f>COUNTIF('Test Cases'!$C$2:$C$176,$A15)</f>
        <v/>
      </c>
      <c r="C15" s="13">
        <f>COUNTIFS('Test Cases'!$C$2:$C$176,$A15,'Test Cases'!$T$2:$T$176,"Not Run")</f>
        <v/>
      </c>
      <c r="D15" s="13">
        <f>COUNTIFS('Test Cases'!$C$2:$C$176,$A15,'Test Cases'!$T$2:$T$176,"Pass")</f>
        <v/>
      </c>
      <c r="E15" s="13">
        <f>COUNTIFS('Test Cases'!$C$2:$C$176,$A15,'Test Cases'!$T$2:$T$176,"Fail")</f>
        <v/>
      </c>
      <c r="F15" s="13">
        <f>COUNTIFS('Test Cases'!$C$2:$C$176,$A15,'Test Cases'!$T$2:$T$176,"Blocked")</f>
        <v/>
      </c>
      <c r="G15" s="13">
        <f>COUNTIFS('Test Cases'!$C$2:$C$176,$A15,'Test Cases'!$T$2:$T$176,"Partial")</f>
        <v/>
      </c>
      <c r="H15" s="13">
        <f>COUNTIFS('Test Cases'!$C$2:$C$176,$A15,'Test Cases'!$T$2:$T$176,"N/A")</f>
        <v/>
      </c>
      <c r="I15" s="19">
        <f>IFERROR(($B15-$C15-$H15)/($B15-$H15),0)</f>
        <v/>
      </c>
      <c r="J15" s="19">
        <f>IFERROR($D15/($B15-$C15-$H15),0)</f>
        <v/>
      </c>
      <c r="K15" s="13">
        <f>COUNTIFS('Test Cases'!$C$2:$C$176,$A15,'Test Cases'!$L$2:$L$176,"Automated")+COUNTIFS('Test Cases'!$C$2:$C$176,$A15,'Test Cases'!$L$2:$L$176,"Partial")</f>
        <v/>
      </c>
      <c r="L15" s="13">
        <f>COUNTIFS('Test Cases'!$C$2:$C$176,$A15,'Test Cases'!$L$2:$L$176,"Planned")</f>
        <v/>
      </c>
      <c r="M15" s="20">
        <f>SUMIFS('Test Cases'!$R$2:$R$176,'Test Cases'!$C$2:$C$176,$A15)</f>
        <v/>
      </c>
    </row>
    <row r="16">
      <c r="A16" s="12" t="inlineStr">
        <is>
          <t>12. Accessibility, visual &amp; errors</t>
        </is>
      </c>
      <c r="B16" s="13">
        <f>COUNTIF('Test Cases'!$C$2:$C$176,$A16)</f>
        <v/>
      </c>
      <c r="C16" s="13">
        <f>COUNTIFS('Test Cases'!$C$2:$C$176,$A16,'Test Cases'!$T$2:$T$176,"Not Run")</f>
        <v/>
      </c>
      <c r="D16" s="13">
        <f>COUNTIFS('Test Cases'!$C$2:$C$176,$A16,'Test Cases'!$T$2:$T$176,"Pass")</f>
        <v/>
      </c>
      <c r="E16" s="13">
        <f>COUNTIFS('Test Cases'!$C$2:$C$176,$A16,'Test Cases'!$T$2:$T$176,"Fail")</f>
        <v/>
      </c>
      <c r="F16" s="13">
        <f>COUNTIFS('Test Cases'!$C$2:$C$176,$A16,'Test Cases'!$T$2:$T$176,"Blocked")</f>
        <v/>
      </c>
      <c r="G16" s="13">
        <f>COUNTIFS('Test Cases'!$C$2:$C$176,$A16,'Test Cases'!$T$2:$T$176,"Partial")</f>
        <v/>
      </c>
      <c r="H16" s="13">
        <f>COUNTIFS('Test Cases'!$C$2:$C$176,$A16,'Test Cases'!$T$2:$T$176,"N/A")</f>
        <v/>
      </c>
      <c r="I16" s="19">
        <f>IFERROR(($B16-$C16-$H16)/($B16-$H16),0)</f>
        <v/>
      </c>
      <c r="J16" s="19">
        <f>IFERROR($D16/($B16-$C16-$H16),0)</f>
        <v/>
      </c>
      <c r="K16" s="13">
        <f>COUNTIFS('Test Cases'!$C$2:$C$176,$A16,'Test Cases'!$L$2:$L$176,"Automated")+COUNTIFS('Test Cases'!$C$2:$C$176,$A16,'Test Cases'!$L$2:$L$176,"Partial")</f>
        <v/>
      </c>
      <c r="L16" s="13">
        <f>COUNTIFS('Test Cases'!$C$2:$C$176,$A16,'Test Cases'!$L$2:$L$176,"Planned")</f>
        <v/>
      </c>
      <c r="M16" s="20">
        <f>SUMIFS('Test Cases'!$R$2:$R$176,'Test Cases'!$C$2:$C$176,$A16)</f>
        <v/>
      </c>
    </row>
    <row r="17">
      <c r="A17" s="12" t="inlineStr">
        <is>
          <t>13. Suite safety &amp; resilience</t>
        </is>
      </c>
      <c r="B17" s="13">
        <f>COUNTIF('Test Cases'!$C$2:$C$176,$A17)</f>
        <v/>
      </c>
      <c r="C17" s="13">
        <f>COUNTIFS('Test Cases'!$C$2:$C$176,$A17,'Test Cases'!$T$2:$T$176,"Not Run")</f>
        <v/>
      </c>
      <c r="D17" s="13">
        <f>COUNTIFS('Test Cases'!$C$2:$C$176,$A17,'Test Cases'!$T$2:$T$176,"Pass")</f>
        <v/>
      </c>
      <c r="E17" s="13">
        <f>COUNTIFS('Test Cases'!$C$2:$C$176,$A17,'Test Cases'!$T$2:$T$176,"Fail")</f>
        <v/>
      </c>
      <c r="F17" s="13">
        <f>COUNTIFS('Test Cases'!$C$2:$C$176,$A17,'Test Cases'!$T$2:$T$176,"Blocked")</f>
        <v/>
      </c>
      <c r="G17" s="13">
        <f>COUNTIFS('Test Cases'!$C$2:$C$176,$A17,'Test Cases'!$T$2:$T$176,"Partial")</f>
        <v/>
      </c>
      <c r="H17" s="13">
        <f>COUNTIFS('Test Cases'!$C$2:$C$176,$A17,'Test Cases'!$T$2:$T$176,"N/A")</f>
        <v/>
      </c>
      <c r="I17" s="19">
        <f>IFERROR(($B17-$C17-$H17)/($B17-$H17),0)</f>
        <v/>
      </c>
      <c r="J17" s="19">
        <f>IFERROR($D17/($B17-$C17-$H17),0)</f>
        <v/>
      </c>
      <c r="K17" s="13">
        <f>COUNTIFS('Test Cases'!$C$2:$C$176,$A17,'Test Cases'!$L$2:$L$176,"Automated")+COUNTIFS('Test Cases'!$C$2:$C$176,$A17,'Test Cases'!$L$2:$L$176,"Partial")</f>
        <v/>
      </c>
      <c r="L17" s="13">
        <f>COUNTIFS('Test Cases'!$C$2:$C$176,$A17,'Test Cases'!$L$2:$L$176,"Planned")</f>
        <v/>
      </c>
      <c r="M17" s="20">
        <f>SUMIFS('Test Cases'!$R$2:$R$176,'Test Cases'!$C$2:$C$176,$A17)</f>
        <v/>
      </c>
    </row>
    <row r="18">
      <c r="A18" s="12" t="inlineStr">
        <is>
          <t>14. Admin - order processing</t>
        </is>
      </c>
      <c r="B18" s="13">
        <f>COUNTIF('Test Cases'!$C$2:$C$176,$A18)</f>
        <v/>
      </c>
      <c r="C18" s="13">
        <f>COUNTIFS('Test Cases'!$C$2:$C$176,$A18,'Test Cases'!$T$2:$T$176,"Not Run")</f>
        <v/>
      </c>
      <c r="D18" s="13">
        <f>COUNTIFS('Test Cases'!$C$2:$C$176,$A18,'Test Cases'!$T$2:$T$176,"Pass")</f>
        <v/>
      </c>
      <c r="E18" s="13">
        <f>COUNTIFS('Test Cases'!$C$2:$C$176,$A18,'Test Cases'!$T$2:$T$176,"Fail")</f>
        <v/>
      </c>
      <c r="F18" s="13">
        <f>COUNTIFS('Test Cases'!$C$2:$C$176,$A18,'Test Cases'!$T$2:$T$176,"Blocked")</f>
        <v/>
      </c>
      <c r="G18" s="13">
        <f>COUNTIFS('Test Cases'!$C$2:$C$176,$A18,'Test Cases'!$T$2:$T$176,"Partial")</f>
        <v/>
      </c>
      <c r="H18" s="13">
        <f>COUNTIFS('Test Cases'!$C$2:$C$176,$A18,'Test Cases'!$T$2:$T$176,"N/A")</f>
        <v/>
      </c>
      <c r="I18" s="19">
        <f>IFERROR(($B18-$C18-$H18)/($B18-$H18),0)</f>
        <v/>
      </c>
      <c r="J18" s="19">
        <f>IFERROR($D18/($B18-$C18-$H18),0)</f>
        <v/>
      </c>
      <c r="K18" s="13">
        <f>COUNTIFS('Test Cases'!$C$2:$C$176,$A18,'Test Cases'!$L$2:$L$176,"Automated")+COUNTIFS('Test Cases'!$C$2:$C$176,$A18,'Test Cases'!$L$2:$L$176,"Partial")</f>
        <v/>
      </c>
      <c r="L18" s="13">
        <f>COUNTIFS('Test Cases'!$C$2:$C$176,$A18,'Test Cases'!$L$2:$L$176,"Planned")</f>
        <v/>
      </c>
      <c r="M18" s="20">
        <f>SUMIFS('Test Cases'!$R$2:$R$176,'Test Cases'!$C$2:$C$176,$A18)</f>
        <v/>
      </c>
    </row>
    <row r="19">
      <c r="A19" s="12" t="inlineStr">
        <is>
          <t>15. Admin - access &amp; order management</t>
        </is>
      </c>
      <c r="B19" s="13">
        <f>COUNTIF('Test Cases'!$C$2:$C$176,$A19)</f>
        <v/>
      </c>
      <c r="C19" s="13">
        <f>COUNTIFS('Test Cases'!$C$2:$C$176,$A19,'Test Cases'!$T$2:$T$176,"Not Run")</f>
        <v/>
      </c>
      <c r="D19" s="13">
        <f>COUNTIFS('Test Cases'!$C$2:$C$176,$A19,'Test Cases'!$T$2:$T$176,"Pass")</f>
        <v/>
      </c>
      <c r="E19" s="13">
        <f>COUNTIFS('Test Cases'!$C$2:$C$176,$A19,'Test Cases'!$T$2:$T$176,"Fail")</f>
        <v/>
      </c>
      <c r="F19" s="13">
        <f>COUNTIFS('Test Cases'!$C$2:$C$176,$A19,'Test Cases'!$T$2:$T$176,"Blocked")</f>
        <v/>
      </c>
      <c r="G19" s="13">
        <f>COUNTIFS('Test Cases'!$C$2:$C$176,$A19,'Test Cases'!$T$2:$T$176,"Partial")</f>
        <v/>
      </c>
      <c r="H19" s="13">
        <f>COUNTIFS('Test Cases'!$C$2:$C$176,$A19,'Test Cases'!$T$2:$T$176,"N/A")</f>
        <v/>
      </c>
      <c r="I19" s="19">
        <f>IFERROR(($B19-$C19-$H19)/($B19-$H19),0)</f>
        <v/>
      </c>
      <c r="J19" s="19">
        <f>IFERROR($D19/($B19-$C19-$H19),0)</f>
        <v/>
      </c>
      <c r="K19" s="13">
        <f>COUNTIFS('Test Cases'!$C$2:$C$176,$A19,'Test Cases'!$L$2:$L$176,"Automated")+COUNTIFS('Test Cases'!$C$2:$C$176,$A19,'Test Cases'!$L$2:$L$176,"Partial")</f>
        <v/>
      </c>
      <c r="L19" s="13">
        <f>COUNTIFS('Test Cases'!$C$2:$C$176,$A19,'Test Cases'!$L$2:$L$176,"Planned")</f>
        <v/>
      </c>
      <c r="M19" s="20">
        <f>SUMIFS('Test Cases'!$R$2:$R$176,'Test Cases'!$C$2:$C$176,$A19)</f>
        <v/>
      </c>
    </row>
    <row r="20">
      <c r="A20" s="12" t="inlineStr">
        <is>
          <t>TOTAL</t>
        </is>
      </c>
      <c r="B20" s="21">
        <f>SUM(B5:B19)</f>
        <v/>
      </c>
      <c r="C20" s="21">
        <f>SUM(C5:C19)</f>
        <v/>
      </c>
      <c r="D20" s="21">
        <f>SUM(D5:D19)</f>
        <v/>
      </c>
      <c r="E20" s="21">
        <f>SUM(E5:E19)</f>
        <v/>
      </c>
      <c r="F20" s="21">
        <f>SUM(F5:F19)</f>
        <v/>
      </c>
      <c r="G20" s="21">
        <f>SUM(G5:G19)</f>
        <v/>
      </c>
      <c r="H20" s="21">
        <f>SUM(H5:H19)</f>
        <v/>
      </c>
      <c r="I20" s="22">
        <f>IFERROR(($B20-$C20-$H20)/($B20-$H20),0)</f>
        <v/>
      </c>
      <c r="J20" s="22">
        <f>IFERROR($D20/($B20-$C20-$H20),0)</f>
        <v/>
      </c>
      <c r="K20" s="21">
        <f>SUM(K5:K19)</f>
        <v/>
      </c>
      <c r="L20" s="21">
        <f>SUM(L5:L19)</f>
        <v/>
      </c>
      <c r="M20" s="23">
        <f>SUM(M5:M19)</f>
        <v/>
      </c>
    </row>
    <row r="21"/>
    <row r="22">
      <c r="A22" s="7" t="inlineStr">
        <is>
          <t>BY APP</t>
        </is>
      </c>
      <c r="B22" s="8" t="n"/>
      <c r="C22" s="8" t="n"/>
      <c r="D22" s="8" t="n"/>
      <c r="E22" s="8" t="n"/>
      <c r="F22" s="8" t="n"/>
      <c r="G22" s="8" t="n"/>
      <c r="H22" s="8" t="n"/>
      <c r="I22" s="8" t="n"/>
      <c r="J22" s="8" t="n"/>
      <c r="K22" s="8" t="n"/>
      <c r="L22" s="8" t="n"/>
      <c r="M22" s="8" t="n"/>
    </row>
    <row r="23" ht="25.5" customHeight="1">
      <c r="A23" s="6" t="inlineStr">
        <is>
          <t>App</t>
        </is>
      </c>
      <c r="B23" s="6" t="inlineStr">
        <is>
          <t>Total</t>
        </is>
      </c>
      <c r="C23" s="6" t="inlineStr">
        <is>
          <t>Not Run</t>
        </is>
      </c>
      <c r="D23" s="6" t="inlineStr">
        <is>
          <t>Pass</t>
        </is>
      </c>
      <c r="E23" s="6" t="inlineStr">
        <is>
          <t>Fail</t>
        </is>
      </c>
      <c r="F23" s="6" t="inlineStr">
        <is>
          <t>Blocked</t>
        </is>
      </c>
      <c r="G23" s="6" t="inlineStr">
        <is>
          <t>Partial</t>
        </is>
      </c>
      <c r="H23" s="6" t="inlineStr">
        <is>
          <t>N/A</t>
        </is>
      </c>
      <c r="I23" s="6" t="inlineStr">
        <is>
          <t>Executed %</t>
        </is>
      </c>
      <c r="J23" s="6" t="inlineStr">
        <is>
          <t>Pass % of executed</t>
        </is>
      </c>
      <c r="K23" s="6" t="inlineStr">
        <is>
          <t>Automated</t>
        </is>
      </c>
      <c r="L23" s="6" t="inlineStr">
        <is>
          <t>Planned</t>
        </is>
      </c>
      <c r="M23" s="6" t="inlineStr">
        <is>
          <t>PW Tests</t>
        </is>
      </c>
    </row>
    <row r="24">
      <c r="A24" s="12" t="inlineStr">
        <is>
          <t>Storefront</t>
        </is>
      </c>
      <c r="B24" s="13">
        <f>COUNTIF('Test Cases'!$B$2:$B$176,$A24)</f>
        <v/>
      </c>
      <c r="C24" s="13">
        <f>COUNTIFS('Test Cases'!$B$2:$B$176,$A24,'Test Cases'!$T$2:$T$176,"Not Run")</f>
        <v/>
      </c>
      <c r="D24" s="13">
        <f>COUNTIFS('Test Cases'!$B$2:$B$176,$A24,'Test Cases'!$T$2:$T$176,"Pass")</f>
        <v/>
      </c>
      <c r="E24" s="13">
        <f>COUNTIFS('Test Cases'!$B$2:$B$176,$A24,'Test Cases'!$T$2:$T$176,"Fail")</f>
        <v/>
      </c>
      <c r="F24" s="13">
        <f>COUNTIFS('Test Cases'!$B$2:$B$176,$A24,'Test Cases'!$T$2:$T$176,"Blocked")</f>
        <v/>
      </c>
      <c r="G24" s="13">
        <f>COUNTIFS('Test Cases'!$B$2:$B$176,$A24,'Test Cases'!$T$2:$T$176,"Partial")</f>
        <v/>
      </c>
      <c r="H24" s="13">
        <f>COUNTIFS('Test Cases'!$B$2:$B$176,$A24,'Test Cases'!$T$2:$T$176,"N/A")</f>
        <v/>
      </c>
      <c r="I24" s="19">
        <f>IFERROR(($B24-$C24-$H24)/($B24-$H24),0)</f>
        <v/>
      </c>
      <c r="J24" s="19">
        <f>IFERROR($D24/($B24-$C24-$H24),0)</f>
        <v/>
      </c>
      <c r="K24" s="13">
        <f>COUNTIFS('Test Cases'!$B$2:$B$176,$A24,'Test Cases'!$L$2:$L$176,"Automated")+COUNTIFS('Test Cases'!$B$2:$B$176,$A24,'Test Cases'!$L$2:$L$176,"Partial")</f>
        <v/>
      </c>
      <c r="L24" s="13">
        <f>COUNTIFS('Test Cases'!$B$2:$B$176,$A24,'Test Cases'!$L$2:$L$176,"Planned")</f>
        <v/>
      </c>
      <c r="M24" s="20">
        <f>SUMIFS('Test Cases'!$R$2:$R$176,'Test Cases'!$B$2:$B$176,$A24)</f>
        <v/>
      </c>
    </row>
    <row r="25">
      <c r="A25" s="12" t="inlineStr">
        <is>
          <t>Storefront + Admin</t>
        </is>
      </c>
      <c r="B25" s="13">
        <f>COUNTIF('Test Cases'!$B$2:$B$176,$A25)</f>
        <v/>
      </c>
      <c r="C25" s="13">
        <f>COUNTIFS('Test Cases'!$B$2:$B$176,$A25,'Test Cases'!$T$2:$T$176,"Not Run")</f>
        <v/>
      </c>
      <c r="D25" s="13">
        <f>COUNTIFS('Test Cases'!$B$2:$B$176,$A25,'Test Cases'!$T$2:$T$176,"Pass")</f>
        <v/>
      </c>
      <c r="E25" s="13">
        <f>COUNTIFS('Test Cases'!$B$2:$B$176,$A25,'Test Cases'!$T$2:$T$176,"Fail")</f>
        <v/>
      </c>
      <c r="F25" s="13">
        <f>COUNTIFS('Test Cases'!$B$2:$B$176,$A25,'Test Cases'!$T$2:$T$176,"Blocked")</f>
        <v/>
      </c>
      <c r="G25" s="13">
        <f>COUNTIFS('Test Cases'!$B$2:$B$176,$A25,'Test Cases'!$T$2:$T$176,"Partial")</f>
        <v/>
      </c>
      <c r="H25" s="13">
        <f>COUNTIFS('Test Cases'!$B$2:$B$176,$A25,'Test Cases'!$T$2:$T$176,"N/A")</f>
        <v/>
      </c>
      <c r="I25" s="19">
        <f>IFERROR(($B25-$C25-$H25)/($B25-$H25),0)</f>
        <v/>
      </c>
      <c r="J25" s="19">
        <f>IFERROR($D25/($B25-$C25-$H25),0)</f>
        <v/>
      </c>
      <c r="K25" s="13">
        <f>COUNTIFS('Test Cases'!$B$2:$B$176,$A25,'Test Cases'!$L$2:$L$176,"Automated")+COUNTIFS('Test Cases'!$B$2:$B$176,$A25,'Test Cases'!$L$2:$L$176,"Partial")</f>
        <v/>
      </c>
      <c r="L25" s="13">
        <f>COUNTIFS('Test Cases'!$B$2:$B$176,$A25,'Test Cases'!$L$2:$L$176,"Planned")</f>
        <v/>
      </c>
      <c r="M25" s="20">
        <f>SUMIFS('Test Cases'!$R$2:$R$176,'Test Cases'!$B$2:$B$176,$A25)</f>
        <v/>
      </c>
    </row>
    <row r="26">
      <c r="A26" s="12" t="inlineStr">
        <is>
          <t>Admin</t>
        </is>
      </c>
      <c r="B26" s="13">
        <f>COUNTIF('Test Cases'!$B$2:$B$176,$A26)</f>
        <v/>
      </c>
      <c r="C26" s="13">
        <f>COUNTIFS('Test Cases'!$B$2:$B$176,$A26,'Test Cases'!$T$2:$T$176,"Not Run")</f>
        <v/>
      </c>
      <c r="D26" s="13">
        <f>COUNTIFS('Test Cases'!$B$2:$B$176,$A26,'Test Cases'!$T$2:$T$176,"Pass")</f>
        <v/>
      </c>
      <c r="E26" s="13">
        <f>COUNTIFS('Test Cases'!$B$2:$B$176,$A26,'Test Cases'!$T$2:$T$176,"Fail")</f>
        <v/>
      </c>
      <c r="F26" s="13">
        <f>COUNTIFS('Test Cases'!$B$2:$B$176,$A26,'Test Cases'!$T$2:$T$176,"Blocked")</f>
        <v/>
      </c>
      <c r="G26" s="13">
        <f>COUNTIFS('Test Cases'!$B$2:$B$176,$A26,'Test Cases'!$T$2:$T$176,"Partial")</f>
        <v/>
      </c>
      <c r="H26" s="13">
        <f>COUNTIFS('Test Cases'!$B$2:$B$176,$A26,'Test Cases'!$T$2:$T$176,"N/A")</f>
        <v/>
      </c>
      <c r="I26" s="19">
        <f>IFERROR(($B26-$C26-$H26)/($B26-$H26),0)</f>
        <v/>
      </c>
      <c r="J26" s="19">
        <f>IFERROR($D26/($B26-$C26-$H26),0)</f>
        <v/>
      </c>
      <c r="K26" s="13">
        <f>COUNTIFS('Test Cases'!$B$2:$B$176,$A26,'Test Cases'!$L$2:$L$176,"Automated")+COUNTIFS('Test Cases'!$B$2:$B$176,$A26,'Test Cases'!$L$2:$L$176,"Partial")</f>
        <v/>
      </c>
      <c r="L26" s="13">
        <f>COUNTIFS('Test Cases'!$B$2:$B$176,$A26,'Test Cases'!$L$2:$L$176,"Planned")</f>
        <v/>
      </c>
      <c r="M26" s="20">
        <f>SUMIFS('Test Cases'!$R$2:$R$176,'Test Cases'!$B$2:$B$176,$A26)</f>
        <v/>
      </c>
    </row>
    <row r="27">
      <c r="A27" s="12" t="inlineStr">
        <is>
          <t>Suite</t>
        </is>
      </c>
      <c r="B27" s="13">
        <f>COUNTIF('Test Cases'!$B$2:$B$176,$A27)</f>
        <v/>
      </c>
      <c r="C27" s="13">
        <f>COUNTIFS('Test Cases'!$B$2:$B$176,$A27,'Test Cases'!$T$2:$T$176,"Not Run")</f>
        <v/>
      </c>
      <c r="D27" s="13">
        <f>COUNTIFS('Test Cases'!$B$2:$B$176,$A27,'Test Cases'!$T$2:$T$176,"Pass")</f>
        <v/>
      </c>
      <c r="E27" s="13">
        <f>COUNTIFS('Test Cases'!$B$2:$B$176,$A27,'Test Cases'!$T$2:$T$176,"Fail")</f>
        <v/>
      </c>
      <c r="F27" s="13">
        <f>COUNTIFS('Test Cases'!$B$2:$B$176,$A27,'Test Cases'!$T$2:$T$176,"Blocked")</f>
        <v/>
      </c>
      <c r="G27" s="13">
        <f>COUNTIFS('Test Cases'!$B$2:$B$176,$A27,'Test Cases'!$T$2:$T$176,"Partial")</f>
        <v/>
      </c>
      <c r="H27" s="13">
        <f>COUNTIFS('Test Cases'!$B$2:$B$176,$A27,'Test Cases'!$T$2:$T$176,"N/A")</f>
        <v/>
      </c>
      <c r="I27" s="19">
        <f>IFERROR(($B27-$C27-$H27)/($B27-$H27),0)</f>
        <v/>
      </c>
      <c r="J27" s="19">
        <f>IFERROR($D27/($B27-$C27-$H27),0)</f>
        <v/>
      </c>
      <c r="K27" s="13">
        <f>COUNTIFS('Test Cases'!$B$2:$B$176,$A27,'Test Cases'!$L$2:$L$176,"Automated")+COUNTIFS('Test Cases'!$B$2:$B$176,$A27,'Test Cases'!$L$2:$L$176,"Partial")</f>
        <v/>
      </c>
      <c r="L27" s="13">
        <f>COUNTIFS('Test Cases'!$B$2:$B$176,$A27,'Test Cases'!$L$2:$L$176,"Planned")</f>
        <v/>
      </c>
      <c r="M27" s="20">
        <f>SUMIFS('Test Cases'!$R$2:$R$176,'Test Cases'!$B$2:$B$176,$A27)</f>
        <v/>
      </c>
    </row>
    <row r="28"/>
    <row r="29">
      <c r="A29" s="7" t="inlineStr">
        <is>
          <t>BY PRIORITY - exit criteria depend on these</t>
        </is>
      </c>
      <c r="B29" s="8" t="n"/>
      <c r="C29" s="8" t="n"/>
      <c r="D29" s="8" t="n"/>
      <c r="E29" s="8" t="n"/>
      <c r="F29" s="8" t="n"/>
      <c r="G29" s="8" t="n"/>
      <c r="H29" s="8" t="n"/>
      <c r="I29" s="8" t="n"/>
      <c r="J29" s="8" t="n"/>
      <c r="K29" s="8" t="n"/>
      <c r="L29" s="8" t="n"/>
      <c r="M29" s="8" t="n"/>
    </row>
    <row r="30" ht="38.25" customHeight="1">
      <c r="A30" s="6" t="inlineStr">
        <is>
          <t>Priority</t>
        </is>
      </c>
      <c r="B30" s="6" t="inlineStr">
        <is>
          <t>Total</t>
        </is>
      </c>
      <c r="C30" s="6" t="inlineStr">
        <is>
          <t>Not Run</t>
        </is>
      </c>
      <c r="D30" s="6" t="inlineStr">
        <is>
          <t>Pass</t>
        </is>
      </c>
      <c r="E30" s="6" t="inlineStr">
        <is>
          <t>Fail</t>
        </is>
      </c>
      <c r="F30" s="6" t="inlineStr">
        <is>
          <t>Blocked</t>
        </is>
      </c>
      <c r="G30" s="6" t="inlineStr">
        <is>
          <t>Executed %</t>
        </is>
      </c>
      <c r="H30" s="6" t="inlineStr">
        <is>
          <t>Exit requirement</t>
        </is>
      </c>
    </row>
    <row r="31">
      <c r="A31" s="12" t="inlineStr">
        <is>
          <t>Critical</t>
        </is>
      </c>
      <c r="B31" s="13">
        <f>COUNTIF('Test Cases'!$F$2:$F$176,$A31)</f>
        <v/>
      </c>
      <c r="C31" s="13">
        <f>COUNTIFS('Test Cases'!$F$2:$F$176,$A31,'Test Cases'!$T$2:$T$176,"Not Run")</f>
        <v/>
      </c>
      <c r="D31" s="13">
        <f>COUNTIFS('Test Cases'!$F$2:$F$176,$A31,'Test Cases'!$T$2:$T$176,"Pass")</f>
        <v/>
      </c>
      <c r="E31" s="13">
        <f>COUNTIFS('Test Cases'!$F$2:$F$176,$A31,'Test Cases'!$T$2:$T$176,"Fail")</f>
        <v/>
      </c>
      <c r="F31" s="13">
        <f>COUNTIFS('Test Cases'!$F$2:$F$176,$A31,'Test Cases'!$T$2:$T$176,"Blocked")</f>
        <v/>
      </c>
      <c r="G31" s="19">
        <f>IFERROR(($B31-$C31-COUNTIFS('Test Cases'!$F$2:$F$176,$A31,'Test Cases'!$T$2:$T$176,"N/A"))/($B31-COUNTIFS('Test Cases'!$F$2:$F$176,$A31,'Test Cases'!$T$2:$T$176,"N/A")),0)</f>
        <v/>
      </c>
      <c r="H31" s="25" t="inlineStr">
        <is>
          <t>100% executed, zero open defects</t>
        </is>
      </c>
      <c r="I31" s="26" t="n"/>
      <c r="J31" s="26" t="n"/>
      <c r="K31" s="26" t="n"/>
      <c r="L31" s="26" t="n"/>
      <c r="M31" s="27" t="n"/>
    </row>
    <row r="32">
      <c r="A32" s="12" t="inlineStr">
        <is>
          <t>High</t>
        </is>
      </c>
      <c r="B32" s="13">
        <f>COUNTIF('Test Cases'!$F$2:$F$176,$A32)</f>
        <v/>
      </c>
      <c r="C32" s="13">
        <f>COUNTIFS('Test Cases'!$F$2:$F$176,$A32,'Test Cases'!$T$2:$T$176,"Not Run")</f>
        <v/>
      </c>
      <c r="D32" s="13">
        <f>COUNTIFS('Test Cases'!$F$2:$F$176,$A32,'Test Cases'!$T$2:$T$176,"Pass")</f>
        <v/>
      </c>
      <c r="E32" s="13">
        <f>COUNTIFS('Test Cases'!$F$2:$F$176,$A32,'Test Cases'!$T$2:$T$176,"Fail")</f>
        <v/>
      </c>
      <c r="F32" s="13">
        <f>COUNTIFS('Test Cases'!$F$2:$F$176,$A32,'Test Cases'!$T$2:$T$176,"Blocked")</f>
        <v/>
      </c>
      <c r="G32" s="19">
        <f>IFERROR(($B32-$C32-COUNTIFS('Test Cases'!$F$2:$F$176,$A32,'Test Cases'!$T$2:$T$176,"N/A"))/($B32-COUNTIFS('Test Cases'!$F$2:$F$176,$A32,'Test Cases'!$T$2:$T$176,"N/A")),0)</f>
        <v/>
      </c>
      <c r="H32" s="25" t="inlineStr">
        <is>
          <t>100% executed, zero open or each accepted in writing</t>
        </is>
      </c>
      <c r="I32" s="26" t="n"/>
      <c r="J32" s="26" t="n"/>
      <c r="K32" s="26" t="n"/>
      <c r="L32" s="26" t="n"/>
      <c r="M32" s="27" t="n"/>
    </row>
    <row r="33">
      <c r="A33" s="12" t="inlineStr">
        <is>
          <t>Medium</t>
        </is>
      </c>
      <c r="B33" s="13">
        <f>COUNTIF('Test Cases'!$F$2:$F$176,$A33)</f>
        <v/>
      </c>
      <c r="C33" s="13">
        <f>COUNTIFS('Test Cases'!$F$2:$F$176,$A33,'Test Cases'!$T$2:$T$176,"Not Run")</f>
        <v/>
      </c>
      <c r="D33" s="13">
        <f>COUNTIFS('Test Cases'!$F$2:$F$176,$A33,'Test Cases'!$T$2:$T$176,"Pass")</f>
        <v/>
      </c>
      <c r="E33" s="13">
        <f>COUNTIFS('Test Cases'!$F$2:$F$176,$A33,'Test Cases'!$T$2:$T$176,"Fail")</f>
        <v/>
      </c>
      <c r="F33" s="13">
        <f>COUNTIFS('Test Cases'!$F$2:$F$176,$A33,'Test Cases'!$T$2:$T$176,"Blocked")</f>
        <v/>
      </c>
      <c r="G33" s="19">
        <f>IFERROR(($B33-$C33-COUNTIFS('Test Cases'!$F$2:$F$176,$A33,'Test Cases'!$T$2:$T$176,"N/A"))/($B33-COUNTIFS('Test Cases'!$F$2:$F$176,$A33,'Test Cases'!$T$2:$T$176,"N/A")),0)</f>
        <v/>
      </c>
      <c r="H33" s="25" t="inlineStr">
        <is>
          <t>95%+ executed</t>
        </is>
      </c>
      <c r="I33" s="26" t="n"/>
      <c r="J33" s="26" t="n"/>
      <c r="K33" s="26" t="n"/>
      <c r="L33" s="26" t="n"/>
      <c r="M33" s="27" t="n"/>
    </row>
    <row r="34">
      <c r="A34" s="12" t="inlineStr">
        <is>
          <t>Low</t>
        </is>
      </c>
      <c r="B34" s="13">
        <f>COUNTIF('Test Cases'!$F$2:$F$176,$A34)</f>
        <v/>
      </c>
      <c r="C34" s="13">
        <f>COUNTIFS('Test Cases'!$F$2:$F$176,$A34,'Test Cases'!$T$2:$T$176,"Not Run")</f>
        <v/>
      </c>
      <c r="D34" s="13">
        <f>COUNTIFS('Test Cases'!$F$2:$F$176,$A34,'Test Cases'!$T$2:$T$176,"Pass")</f>
        <v/>
      </c>
      <c r="E34" s="13">
        <f>COUNTIFS('Test Cases'!$F$2:$F$176,$A34,'Test Cases'!$T$2:$T$176,"Fail")</f>
        <v/>
      </c>
      <c r="F34" s="13">
        <f>COUNTIFS('Test Cases'!$F$2:$F$176,$A34,'Test Cases'!$T$2:$T$176,"Blocked")</f>
        <v/>
      </c>
      <c r="G34" s="19">
        <f>IFERROR(($B34-$C34-COUNTIFS('Test Cases'!$F$2:$F$176,$A34,'Test Cases'!$T$2:$T$176,"N/A"))/($B34-COUNTIFS('Test Cases'!$F$2:$F$176,$A34,'Test Cases'!$T$2:$T$176,"N/A")),0)</f>
        <v/>
      </c>
      <c r="H34" s="25" t="inlineStr">
        <is>
          <t>95%+ executed</t>
        </is>
      </c>
      <c r="I34" s="26" t="n"/>
      <c r="J34" s="26" t="n"/>
      <c r="K34" s="26" t="n"/>
      <c r="L34" s="26" t="n"/>
      <c r="M34" s="27" t="n"/>
    </row>
    <row r="35"/>
    <row r="36">
      <c r="A36" s="7" t="inlineStr">
        <is>
          <t>RELEASE READINESS</t>
        </is>
      </c>
      <c r="B36" s="8" t="n"/>
      <c r="C36" s="8" t="n"/>
      <c r="D36" s="8" t="n"/>
      <c r="E36" s="8" t="n"/>
      <c r="F36" s="8" t="n"/>
      <c r="G36" s="8" t="n"/>
      <c r="H36" s="8" t="n"/>
      <c r="I36" s="8" t="n"/>
      <c r="J36" s="8" t="n"/>
      <c r="K36" s="8" t="n"/>
      <c r="L36" s="8" t="n"/>
      <c r="M36" s="8" t="n"/>
    </row>
    <row r="37">
      <c r="A37" s="12" t="inlineStr">
        <is>
          <t>Critical cases fully executed</t>
        </is>
      </c>
      <c r="B37" s="25">
        <f>IF(COUNTIFS('Test Cases'!$F$2:$F$176,"Critical",'Test Cases'!$T$2:$T$176,"Not Run")=0,"YES","NO - "&amp;COUNTIFS('Test Cases'!$F$2:$F$176,"Critical",'Test Cases'!$T$2:$T$176,"Not Run")&amp;" not run")</f>
        <v/>
      </c>
      <c r="C37" s="26" t="n"/>
      <c r="D37" s="26" t="n"/>
      <c r="E37" s="27" t="n"/>
    </row>
    <row r="38">
      <c r="A38" s="12" t="inlineStr">
        <is>
          <t>Zero Critical failures</t>
        </is>
      </c>
      <c r="B38" s="25">
        <f>IF(COUNTIFS('Test Cases'!$F$2:$F$176,"Critical",'Test Cases'!$T$2:$T$176,"Fail")=0,"YES","NO - "&amp;COUNTIFS('Test Cases'!$F$2:$F$176,"Critical",'Test Cases'!$T$2:$T$176,"Fail")&amp;" failed")</f>
        <v/>
      </c>
      <c r="C38" s="26" t="n"/>
      <c r="D38" s="26" t="n"/>
      <c r="E38" s="27" t="n"/>
    </row>
    <row r="39">
      <c r="A39" s="12" t="inlineStr">
        <is>
          <t>High cases fully executed</t>
        </is>
      </c>
      <c r="B39" s="25">
        <f>IF(COUNTIFS('Test Cases'!$F$2:$F$176,"High",'Test Cases'!$T$2:$T$176,"Not Run")=0,"YES","NO - "&amp;COUNTIFS('Test Cases'!$F$2:$F$176,"High",'Test Cases'!$T$2:$T$176,"Not Run")&amp;" not run")</f>
        <v/>
      </c>
      <c r="C39" s="26" t="n"/>
      <c r="D39" s="26" t="n"/>
      <c r="E39" s="27" t="n"/>
    </row>
    <row r="40">
      <c r="A40" s="12" t="inlineStr">
        <is>
          <t>Zero High failures</t>
        </is>
      </c>
      <c r="B40" s="25">
        <f>IF(COUNTIFS('Test Cases'!$F$2:$F$176,"High",'Test Cases'!$T$2:$T$176,"Fail")=0,"YES","NO - "&amp;COUNTIFS('Test Cases'!$F$2:$F$176,"High",'Test Cases'!$T$2:$T$176,"Fail")&amp;" failed")</f>
        <v/>
      </c>
      <c r="C40" s="26" t="n"/>
      <c r="D40" s="26" t="n"/>
      <c r="E40" s="27" t="n"/>
    </row>
    <row r="41">
      <c r="A41" s="12" t="inlineStr">
        <is>
          <t>Nothing left blocked</t>
        </is>
      </c>
      <c r="B41" s="25">
        <f>IF(COUNTIF('Test Cases'!$T$2:$T$176,"Blocked")=0,"YES","NO - "&amp;COUNTIF('Test Cases'!$T$2:$T$176,"Blocked")&amp;" blocked")</f>
        <v/>
      </c>
      <c r="C41" s="26" t="n"/>
      <c r="D41" s="26" t="n"/>
      <c r="E41" s="27" t="n"/>
    </row>
    <row r="42">
      <c r="A42" s="12" t="inlineStr">
        <is>
          <t>Overall executed</t>
        </is>
      </c>
      <c r="B42" s="25">
        <f>TEXT(I20,"0.0%")&amp;" of "&amp;(B20-H20)&amp;" runnable cases"</f>
        <v/>
      </c>
      <c r="C42" s="26" t="n"/>
      <c r="D42" s="26" t="n"/>
      <c r="E42" s="27" t="n"/>
    </row>
    <row r="43">
      <c r="A43" s="12" t="inlineStr">
        <is>
          <t>Open defects (Defect Log)</t>
        </is>
      </c>
      <c r="B43" s="25">
        <f>COUNTIF('Defect Log'!$O$2:$O$200,"Open")+COUNTIF('Defect Log'!$O$2:$O$200,"In Progress")+COUNTIF('Defect Log'!$O$2:$O$200,"Retest")</f>
        <v/>
      </c>
      <c r="C43" s="26" t="n"/>
      <c r="D43" s="26" t="n"/>
      <c r="E43" s="27" t="n"/>
    </row>
    <row r="44"/>
    <row r="45">
      <c r="A45" s="2" t="inlineStr">
        <is>
          <t>Executed % excludes N/A (e.g. withdrawn cases). These checks cover only what this workbook can see; CI results live in the Playwright/Allure reports.</t>
        </is>
      </c>
    </row>
  </sheetData>
  <mergeCells count="11">
    <mergeCell ref="B40:E40"/>
    <mergeCell ref="B41:E41"/>
    <mergeCell ref="H33:M33"/>
    <mergeCell ref="H32:M32"/>
    <mergeCell ref="B43:E43"/>
    <mergeCell ref="B38:E38"/>
    <mergeCell ref="B39:E39"/>
    <mergeCell ref="H31:M31"/>
    <mergeCell ref="B37:E37"/>
    <mergeCell ref="H34:M34"/>
    <mergeCell ref="B42:E42"/>
  </mergeCells>
  <pageMargins left="0.75" right="0.75" top="1" bottom="1" header="0.5" footer="0.5"/>
</worksheet>
</file>

<file path=xl/worksheets/sheet8.xml><?xml version="1.0" encoding="utf-8"?>
<worksheet xmlns="http://schemas.openxmlformats.org/spreadsheetml/2006/main">
  <sheetPr>
    <outlinePr summaryBelow="1" summaryRight="1"/>
    <pageSetUpPr/>
  </sheetPr>
  <dimension ref="A1:R23"/>
  <sheetViews>
    <sheetView zoomScale="90" workbookViewId="0">
      <pane xSplit="3" ySplit="1" topLeftCell="D2" activePane="bottomRight" state="frozen"/>
      <selection pane="topRight" activeCell="A1" sqref="A1"/>
      <selection pane="bottomLeft" activeCell="A1" sqref="A1"/>
      <selection pane="bottomRight" activeCell="A1" sqref="A1"/>
    </sheetView>
  </sheetViews>
  <sheetFormatPr baseColWidth="8" defaultRowHeight="15"/>
  <cols>
    <col width="13" customWidth="1" min="1" max="1"/>
    <col width="11" customWidth="1" min="2" max="2"/>
    <col width="13" customWidth="1" min="3" max="3"/>
    <col width="46" customWidth="1" min="4" max="4"/>
    <col width="10" customWidth="1" min="5" max="5"/>
    <col width="9" customWidth="1" min="6" max="6"/>
    <col width="12" customWidth="1" min="7" max="7"/>
    <col width="24" customWidth="1" min="8" max="8"/>
    <col width="30" customWidth="1" min="9" max="9"/>
    <col width="46" customWidth="1" min="10" max="10"/>
    <col width="36" customWidth="1" min="11" max="11"/>
    <col width="40" customWidth="1" min="12" max="12"/>
    <col width="34" customWidth="1" min="13" max="13"/>
    <col width="16" customWidth="1" min="14" max="14"/>
    <col width="12" customWidth="1" min="15" max="15"/>
    <col width="14" customWidth="1" min="16" max="16"/>
    <col width="12" customWidth="1" min="17" max="17"/>
    <col width="13" customWidth="1" min="18" max="18"/>
  </cols>
  <sheetData>
    <row r="1">
      <c r="A1" s="6" t="inlineStr">
        <is>
          <t>Defect ID</t>
        </is>
      </c>
      <c r="B1" s="6" t="inlineStr">
        <is>
          <t>Date</t>
        </is>
      </c>
      <c r="C1" s="6" t="inlineStr">
        <is>
          <t>TC ID</t>
        </is>
      </c>
      <c r="D1" s="6" t="inlineStr">
        <is>
          <t>Summary</t>
        </is>
      </c>
      <c r="E1" s="6" t="inlineStr">
        <is>
          <t>Severity</t>
        </is>
      </c>
      <c r="F1" s="6" t="inlineStr">
        <is>
          <t>Priority</t>
        </is>
      </c>
      <c r="G1" s="6" t="inlineStr">
        <is>
          <t>App</t>
        </is>
      </c>
      <c r="H1" s="6" t="inlineStr">
        <is>
          <t>Environment</t>
        </is>
      </c>
      <c r="I1" s="6" t="inlineStr">
        <is>
          <t>Preconditions</t>
        </is>
      </c>
      <c r="J1" s="6" t="inlineStr">
        <is>
          <t>Steps to Reproduce</t>
        </is>
      </c>
      <c r="K1" s="6" t="inlineStr">
        <is>
          <t>Expected</t>
        </is>
      </c>
      <c r="L1" s="6" t="inlineStr">
        <is>
          <t>Actual</t>
        </is>
      </c>
      <c r="M1" s="6" t="inlineStr">
        <is>
          <t>Evidence</t>
        </is>
      </c>
      <c r="N1" s="6" t="inlineStr">
        <is>
          <t>Found By</t>
        </is>
      </c>
      <c r="O1" s="6" t="inlineStr">
        <is>
          <t>Status</t>
        </is>
      </c>
      <c r="P1" s="6" t="inlineStr">
        <is>
          <t>Assigned To</t>
        </is>
      </c>
      <c r="Q1" s="6" t="inlineStr">
        <is>
          <t>Fixed In</t>
        </is>
      </c>
      <c r="R1" s="6" t="inlineStr">
        <is>
          <t>Retest Result</t>
        </is>
      </c>
    </row>
    <row r="2" ht="120" customHeight="1">
      <c r="A2" s="12" t="inlineStr">
        <is>
          <t>MUS-QA-001</t>
        </is>
      </c>
      <c r="B2" s="25" t="inlineStr">
        <is>
          <t>2026-09-25</t>
        </is>
      </c>
      <c r="C2" s="25" t="inlineStr">
        <is>
          <t>MS-ADMA-006</t>
        </is>
      </c>
      <c r="D2" s="25" t="inlineStr">
        <is>
          <t>Activity log records staff actions as the customer</t>
        </is>
      </c>
      <c r="E2" s="25" t="inlineStr">
        <is>
          <t>Medium</t>
        </is>
      </c>
      <c r="F2" s="25" t="inlineStr">
        <is>
          <t>P2</t>
        </is>
      </c>
      <c r="G2" s="25" t="inlineStr">
        <is>
          <t>Admin</t>
        </is>
      </c>
      <c r="H2" s="25" t="inlineStr">
        <is>
          <t>development-static (dev-static-1 storefront + admin panel)</t>
        </is>
      </c>
      <c r="I2" s="25" t="inlineStr">
        <is>
          <t>Admin signed in; an order at 최종 승인 완료</t>
        </is>
      </c>
      <c r="J2" s="25" t="inlineStr">
        <is>
          <t>1. Admin: Mark as Printing, Add Tracking Number, Send, Update to delivered
2. GET /sys/kr/orders/artwork/activity/&lt;cart_item_id&gt;</t>
        </is>
      </c>
      <c r="K2" s="25" t="inlineStr">
        <is>
          <t>Each of these entries has user.is_admin = true (the staff member)</t>
        </is>
      </c>
      <c r="L2" s="25" t="inlineStr">
        <is>
          <t>Entries PO, P, RS, OD, DE all have is_admin = false - attributed to the customer</t>
        </is>
      </c>
      <c r="M2" s="25" t="inlineStr">
        <is>
          <t>Retest 2026-10-14 on AO-2609180003-dev and AO-2609090017-dev: P, RS, OD, DE still is_admin = false (PO no longer occurs); staff CA, FE, PE, NA are correctly true. Original: AO-2609240008-dev (id 1791) and AO-2609250005-dev (id 1823), 13:10-13:12 and 14:23-14:24 KST</t>
        </is>
      </c>
      <c r="N2" s="25" t="inlineStr">
        <is>
          <t>Exploratory (QA)</t>
        </is>
      </c>
      <c r="O2" s="25" t="inlineStr">
        <is>
          <t>Open</t>
        </is>
      </c>
      <c r="P2" s="25" t="n"/>
      <c r="Q2" s="25" t="n"/>
      <c r="R2" s="25" t="inlineStr">
        <is>
          <t>Fail</t>
        </is>
      </c>
    </row>
    <row r="3" ht="120" customHeight="1">
      <c r="A3" s="12" t="inlineStr">
        <is>
          <t>MUS-QA-002</t>
        </is>
      </c>
      <c r="B3" s="25" t="inlineStr">
        <is>
          <t>2026-09-25</t>
        </is>
      </c>
      <c r="C3" s="25" t="inlineStr">
        <is>
          <t>MS-ADMA-008</t>
        </is>
      </c>
      <c r="D3" s="25" t="inlineStr">
        <is>
          <t>Order can still be edited after 'Mark as Printing' and after completion</t>
        </is>
      </c>
      <c r="E3" s="25" t="inlineStr">
        <is>
          <t>High</t>
        </is>
      </c>
      <c r="F3" s="25" t="inlineStr">
        <is>
          <t>P1</t>
        </is>
      </c>
      <c r="G3" s="25" t="inlineStr">
        <is>
          <t>Admin</t>
        </is>
      </c>
      <c r="H3" s="25" t="inlineStr">
        <is>
          <t>development-static (dev-static-1 storefront + admin panel)</t>
        </is>
      </c>
      <c r="I3" s="25" t="inlineStr">
        <is>
          <t>Admin signed in; an order at 인쇄 진행 중 or 주문 완료</t>
        </is>
      </c>
      <c r="J3" s="25" t="inlineStr">
        <is>
          <t>1. Open the order
2. Look at the Ordered Items header and item row</t>
        </is>
      </c>
      <c r="K3" s="25" t="inlineStr">
        <is>
          <t>The Mark as Printing dialog says no further changes can be made: Add Item and the item edit pencil should be gone or disabled</t>
        </is>
      </c>
      <c r="L3" s="25" t="inlineStr">
        <is>
          <t>Add Item and the edit pencil remain available at 인쇄 진행 중 and on a completed order</t>
        </is>
      </c>
      <c r="M3" s="25" t="inlineStr">
        <is>
          <t>AO-2609240008-dev after Mark as Printing and at 주문 완료</t>
        </is>
      </c>
      <c r="N3" s="25" t="inlineStr">
        <is>
          <t>Exploratory (QA)</t>
        </is>
      </c>
      <c r="O3" s="25" t="inlineStr">
        <is>
          <t>Open</t>
        </is>
      </c>
      <c r="P3" s="25" t="n"/>
      <c r="Q3" s="25" t="n"/>
      <c r="R3" s="25" t="inlineStr">
        <is>
          <t>Not Retested</t>
        </is>
      </c>
    </row>
    <row r="4" ht="120" customHeight="1">
      <c r="A4" s="12" t="inlineStr">
        <is>
          <t>MUS-QA-003</t>
        </is>
      </c>
      <c r="B4" s="25" t="inlineStr">
        <is>
          <t>2026-09-25</t>
        </is>
      </c>
      <c r="C4" s="25" t="inlineStr">
        <is>
          <t>MS-ADMO-016</t>
        </is>
      </c>
      <c r="D4" s="25" t="inlineStr">
        <is>
          <t>CJ tracking link is malformed (admin and customer)</t>
        </is>
      </c>
      <c r="E4" s="25" t="inlineStr">
        <is>
          <t>High</t>
        </is>
      </c>
      <c r="F4" s="25" t="inlineStr">
        <is>
          <t>P1</t>
        </is>
      </c>
      <c r="G4" s="25" t="inlineStr">
        <is>
          <t>Storefront + Admin</t>
        </is>
      </c>
      <c r="H4" s="25" t="inlineStr">
        <is>
          <t>development-static (dev-static-1 storefront + admin panel)</t>
        </is>
      </c>
      <c r="I4" s="25" t="inlineStr">
        <is>
          <t>An order with a tracking number</t>
        </is>
      </c>
      <c r="J4" s="25" t="inlineStr">
        <is>
          <t>1. Admin: tracking card Track, or GET /tracking/shipment/track/get/&lt;id&gt; redirect_url
2. Customer: order page 배송 조회 link</t>
        </is>
      </c>
      <c r="K4" s="25" t="inlineStr">
        <is>
          <t>Link opens CJ tracking with the number pre-filled, e.g. ...tracking?&lt;param&gt;=&lt;no&gt;</t>
        </is>
      </c>
      <c r="L4" s="25" t="inlineStr">
        <is>
          <t>Link is https://www.cjlogistics.com/ko/tool/parcel/tracking?=&lt;no&gt; - no parameter name, so the number is not passed</t>
        </is>
      </c>
      <c r="M4" s="25" t="inlineStr">
        <is>
          <t>QATEST2609250008 (AO-2609240008-dev), QATE260925000005 (AO-2609250005-dev)</t>
        </is>
      </c>
      <c r="N4" s="25" t="inlineStr">
        <is>
          <t>Exploratory (QA)</t>
        </is>
      </c>
      <c r="O4" s="25" t="inlineStr">
        <is>
          <t>Open</t>
        </is>
      </c>
      <c r="P4" s="25" t="n"/>
      <c r="Q4" s="25" t="n"/>
      <c r="R4" s="25" t="inlineStr">
        <is>
          <t>Not Retested</t>
        </is>
      </c>
    </row>
    <row r="5" ht="120" customHeight="1">
      <c r="A5" s="12" t="inlineStr">
        <is>
          <t>MUS-QA-004</t>
        </is>
      </c>
      <c r="B5" s="25" t="inlineStr">
        <is>
          <t>2026-09-25</t>
        </is>
      </c>
      <c r="C5" s="25" t="inlineStr">
        <is>
          <t>MS-ADMO-010</t>
        </is>
      </c>
      <c r="D5" s="25" t="inlineStr">
        <is>
          <t>Proof-approval popup promises '제작 진행' but the order stays 제작 전</t>
        </is>
      </c>
      <c r="E5" s="25" t="inlineStr">
        <is>
          <t>Medium</t>
        </is>
      </c>
      <c r="F5" s="25" t="inlineStr">
        <is>
          <t>P2</t>
        </is>
      </c>
      <c r="G5" s="25" t="inlineStr">
        <is>
          <t>Storefront + Admin</t>
        </is>
      </c>
      <c r="H5" s="25" t="inlineStr">
        <is>
          <t>development-static (dev-static-1 storefront + admin panel)</t>
        </is>
      </c>
      <c r="I5" s="25" t="inlineStr">
        <is>
          <t>Customer signed in; item at 승인 대기</t>
        </is>
      </c>
      <c r="J5" s="25" t="inlineStr">
        <is>
          <t>1. Customer: 최종 시안 확인 -&gt; 승인
2. Read the confirm popup
3. Click 승인 &amp; 제작 진행
4. Check the order status on both apps, again after 40s</t>
        </is>
      </c>
      <c r="K5" s="25" t="inlineStr">
        <is>
          <t>Either the order moves to 제작 진행 as promised, or the popup does not promise it</t>
        </is>
      </c>
      <c r="L5" s="25" t="inlineStr">
        <is>
          <t>Popup: '최종 시안을 승인하면 주문 상태가 '제작 진행'으로 변경됩니다'. Order stays 제작 전 (BP) until staff click Move to Production</t>
        </is>
      </c>
      <c r="M5" s="25" t="inlineStr">
        <is>
          <t>Retest 2026-10-14 (AO-2609180003-dev): the popup now reads '승인된 주문은 제작 대기 상태로 전환되며...' and the order stays 제작 전, so copy and behaviour agree. Original: AO-2609250005-dev, 14:19 KST. Needs a product decision on which side is wrong.</t>
        </is>
      </c>
      <c r="N5" s="25" t="inlineStr">
        <is>
          <t>Exploratory (QA)</t>
        </is>
      </c>
      <c r="O5" s="25" t="inlineStr">
        <is>
          <t>Fixed</t>
        </is>
      </c>
      <c r="P5" s="25" t="n"/>
      <c r="Q5" s="25" t="inlineStr">
        <is>
          <t>static-1, seen 2026-10-14</t>
        </is>
      </c>
      <c r="R5" s="25" t="inlineStr">
        <is>
          <t>Pass</t>
        </is>
      </c>
    </row>
    <row r="6" ht="120" customHeight="1">
      <c r="A6" s="12" t="inlineStr">
        <is>
          <t>MUS-QA-005</t>
        </is>
      </c>
      <c r="B6" s="25" t="inlineStr">
        <is>
          <t>2026-09-25</t>
        </is>
      </c>
      <c r="C6" s="25" t="inlineStr">
        <is>
          <t>MS-ADMO-003</t>
        </is>
      </c>
      <c r="D6" s="25" t="inlineStr">
        <is>
          <t>Make Evaluation pre-selects 'Failed'</t>
        </is>
      </c>
      <c r="E6" s="25" t="inlineStr">
        <is>
          <t>Medium</t>
        </is>
      </c>
      <c r="F6" s="25" t="inlineStr">
        <is>
          <t>P2</t>
        </is>
      </c>
      <c r="G6" s="25" t="inlineStr">
        <is>
          <t>Admin</t>
        </is>
      </c>
      <c r="H6" s="25" t="inlineStr">
        <is>
          <t>development-static (dev-static-1 storefront + admin panel)</t>
        </is>
      </c>
      <c r="I6" s="25" t="inlineStr">
        <is>
          <t>Admin signed in; item at 디자인 파일 제출 완료</t>
        </is>
      </c>
      <c r="J6" s="25" t="inlineStr">
        <is>
          <t>1. Open the item drawer
2. Click Make Evaluation
3. Look at the Passed / Failed toggle</t>
        </is>
      </c>
      <c r="K6" s="25" t="inlineStr">
        <is>
          <t>No result pre-selected (or Passed), so an accidental submit cannot reject a customer's file</t>
        </is>
      </c>
      <c r="L6" s="25" t="inlineStr">
        <is>
          <t>Failed is selected by default; one Submit (after typing any feedback) rejects the file and emails the customer</t>
        </is>
      </c>
      <c r="M6" s="25" t="inlineStr">
        <is>
          <t>AO-2609250005-dev, 14:09 KST</t>
        </is>
      </c>
      <c r="N6" s="25" t="inlineStr">
        <is>
          <t>Exploratory (QA)</t>
        </is>
      </c>
      <c r="O6" s="25" t="inlineStr">
        <is>
          <t>Open</t>
        </is>
      </c>
      <c r="P6" s="25" t="n"/>
      <c r="Q6" s="25" t="n"/>
      <c r="R6" s="25" t="inlineStr">
        <is>
          <t>Not Retested</t>
        </is>
      </c>
    </row>
    <row r="7" ht="120" customHeight="1">
      <c r="A7" s="12" t="inlineStr">
        <is>
          <t>MUS-QA-006</t>
        </is>
      </c>
      <c r="B7" s="25" t="inlineStr">
        <is>
          <t>2026-09-25</t>
        </is>
      </c>
      <c r="C7" s="25" t="inlineStr">
        <is>
          <t>MS-ADMA-012</t>
        </is>
      </c>
      <c r="D7" s="25" t="inlineStr">
        <is>
          <t>Order moved to production and completed while a refund was pending</t>
        </is>
      </c>
      <c r="E7" s="25" t="inlineStr">
        <is>
          <t>Medium</t>
        </is>
      </c>
      <c r="F7" s="25" t="inlineStr">
        <is>
          <t>P2</t>
        </is>
      </c>
      <c r="G7" s="25" t="inlineStr">
        <is>
          <t>Admin</t>
        </is>
      </c>
      <c r="H7" s="25" t="inlineStr">
        <is>
          <t>development-static (dev-static-1 storefront + admin panel)</t>
        </is>
      </c>
      <c r="I7" s="25" t="inlineStr">
        <is>
          <t>Order whose item was reduced after payment (payment status 환불 관련, refundable amount shown)</t>
        </is>
      </c>
      <c r="J7" s="25" t="inlineStr">
        <is>
          <t>1. Approve the proof
2. Mark as Printing (Move to Production before 2026-10) -&gt; ship -&gt; deliver</t>
        </is>
      </c>
      <c r="K7" s="25" t="inlineStr">
        <is>
          <t>Product to confirm: either production is blocked until the refund is settled, or a warning is shown</t>
        </is>
      </c>
      <c r="L7" s="25" t="inlineStr">
        <is>
          <t>No warning or block; the order completed with 55,000원 still refundable</t>
        </is>
      </c>
      <c r="M7" s="25" t="inlineStr">
        <is>
          <t>AO-2609240008-dev: net paid 60,700원, total 5,700원, refundable 55,000원. Question for product, not yet a confirmed bug.</t>
        </is>
      </c>
      <c r="N7" s="25" t="inlineStr">
        <is>
          <t>Exploratory (QA)</t>
        </is>
      </c>
      <c r="O7" s="25" t="inlineStr">
        <is>
          <t>Open</t>
        </is>
      </c>
      <c r="P7" s="25" t="n"/>
      <c r="Q7" s="25" t="n"/>
      <c r="R7" s="25" t="inlineStr">
        <is>
          <t>Not Retested</t>
        </is>
      </c>
    </row>
    <row r="8" ht="120" customHeight="1">
      <c r="A8" s="12" t="inlineStr">
        <is>
          <t>MUS-QA-007</t>
        </is>
      </c>
      <c r="B8" s="25" t="inlineStr">
        <is>
          <t>2026-09-25</t>
        </is>
      </c>
      <c r="C8" s="25" t="inlineStr">
        <is>
          <t>MS-ADMA-013</t>
        </is>
      </c>
      <c r="D8" s="25" t="inlineStr">
        <is>
          <t>Completed order is still listed under 진행 중 on the storefront</t>
        </is>
      </c>
      <c r="E8" s="25" t="inlineStr">
        <is>
          <t>Medium</t>
        </is>
      </c>
      <c r="F8" s="25" t="inlineStr">
        <is>
          <t>P3</t>
        </is>
      </c>
      <c r="G8" s="25" t="inlineStr">
        <is>
          <t>Storefront</t>
        </is>
      </c>
      <c r="H8" s="25" t="inlineStr">
        <is>
          <t>development-static (dev-static-1 storefront + admin panel)</t>
        </is>
      </c>
      <c r="I8" s="25" t="inlineStr">
        <is>
          <t>Seeded member with an order at 주문 완료</t>
        </is>
      </c>
      <c r="J8" s="25" t="inlineStr">
        <is>
          <t>1. Customer: 주문 내역
2. Search the completed order number in 진행 중</t>
        </is>
      </c>
      <c r="K8" s="25" t="inlineStr">
        <is>
          <t>A completed order appears under 이전 내역</t>
        </is>
      </c>
      <c r="L8" s="25" t="inlineStr">
        <is>
          <t>It appears under 진행 중 (with status 주문 완료)</t>
        </is>
      </c>
      <c r="M8" s="25" t="inlineStr">
        <is>
          <t>Retest 2026-10-14: AO-2609090017-dev at 주문 완료 is listed under 이전 내역; searching it under 진행 중 shows 주문을 찾을 수 없습니다. Original: AO-2609250005-dev after delivery, 2026-09-25</t>
        </is>
      </c>
      <c r="N8" s="25" t="inlineStr">
        <is>
          <t>Exploratory (QA)</t>
        </is>
      </c>
      <c r="O8" s="25" t="inlineStr">
        <is>
          <t>Fixed</t>
        </is>
      </c>
      <c r="P8" s="25" t="n"/>
      <c r="Q8" s="25" t="inlineStr">
        <is>
          <t>static-1, seen 2026-10-14</t>
        </is>
      </c>
      <c r="R8" s="25" t="inlineStr">
        <is>
          <t>Pass</t>
        </is>
      </c>
    </row>
    <row r="9" ht="120" customHeight="1">
      <c r="A9" s="12" t="inlineStr">
        <is>
          <t>MUS-QA-008</t>
        </is>
      </c>
      <c r="B9" s="25" t="inlineStr">
        <is>
          <t>2026-09-25</t>
        </is>
      </c>
      <c r="C9" s="25" t="inlineStr">
        <is>
          <t>MS-ADMO-002</t>
        </is>
      </c>
      <c r="D9" s="25" t="inlineStr">
        <is>
          <t>Passed evaluation shows the previous rejection feedback</t>
        </is>
      </c>
      <c r="E9" s="25" t="inlineStr">
        <is>
          <t>Low</t>
        </is>
      </c>
      <c r="F9" s="25" t="inlineStr">
        <is>
          <t>P3</t>
        </is>
      </c>
      <c r="G9" s="25" t="inlineStr">
        <is>
          <t>Admin</t>
        </is>
      </c>
      <c r="H9" s="25" t="inlineStr">
        <is>
          <t>development-static (dev-static-1 storefront + admin panel)</t>
        </is>
      </c>
      <c r="I9" s="25" t="inlineStr">
        <is>
          <t>Item that was rejected once and resubmitted</t>
        </is>
      </c>
      <c r="J9" s="25" t="inlineStr">
        <is>
          <t>1. Make Evaluation
2. Select Passed</t>
        </is>
      </c>
      <c r="K9" s="25" t="inlineStr">
        <is>
          <t>Feedback box empty (it is not used for a pass)</t>
        </is>
      </c>
      <c r="L9" s="25" t="inlineStr">
        <is>
          <t>The disabled feedback box still shows the old rejection text (not saved with the pass: message = null)</t>
        </is>
      </c>
      <c r="M9" s="25" t="inlineStr">
        <is>
          <t>AO-2609250005-dev, 14:14 KST</t>
        </is>
      </c>
      <c r="N9" s="25" t="inlineStr">
        <is>
          <t>Exploratory (QA)</t>
        </is>
      </c>
      <c r="O9" s="25" t="inlineStr">
        <is>
          <t>Open</t>
        </is>
      </c>
      <c r="P9" s="25" t="n"/>
      <c r="Q9" s="25" t="n"/>
      <c r="R9" s="25" t="inlineStr">
        <is>
          <t>Not Retested</t>
        </is>
      </c>
    </row>
    <row r="10" ht="120" customHeight="1">
      <c r="A10" s="12" t="inlineStr">
        <is>
          <t>MUS-QA-009</t>
        </is>
      </c>
      <c r="B10" s="25" t="inlineStr">
        <is>
          <t>2026-09-25</t>
        </is>
      </c>
      <c r="C10" s="25" t="inlineStr">
        <is>
          <t>MS-ACC-003</t>
        </is>
      </c>
      <c r="D10" s="25" t="inlineStr">
        <is>
          <t>Searching in 이전 내역 renders neither results nor an empty state (unconfirmed)</t>
        </is>
      </c>
      <c r="E10" s="25" t="inlineStr">
        <is>
          <t>Low</t>
        </is>
      </c>
      <c r="F10" s="25" t="inlineStr">
        <is>
          <t>P3</t>
        </is>
      </c>
      <c r="G10" s="25" t="inlineStr">
        <is>
          <t>Storefront</t>
        </is>
      </c>
      <c r="H10" s="25" t="inlineStr">
        <is>
          <t>development-static (dev-static-1 storefront + admin panel)</t>
        </is>
      </c>
      <c r="I10" s="25" t="inlineStr">
        <is>
          <t>Seeded member signed in</t>
        </is>
      </c>
      <c r="J10" s="25" t="inlineStr">
        <is>
          <t>1. 주문 내역 -&gt; 이전 내역
2. Search an order number that is not in that segment</t>
        </is>
      </c>
      <c r="K10" s="25" t="inlineStr">
        <is>
          <t>Either matching cards or the empty state (.all-caught-up) within a few seconds</t>
        </is>
      </c>
      <c r="L10" s="25" t="inlineStr">
        <is>
          <t>Neither appeared within 30s (one attempt)</t>
        </is>
      </c>
      <c r="M10" s="25" t="inlineStr">
        <is>
          <t>2026-09-25 exploration; reproduce before assigning</t>
        </is>
      </c>
      <c r="N10" s="25" t="inlineStr">
        <is>
          <t>Exploratory (QA)</t>
        </is>
      </c>
      <c r="O10" s="25" t="inlineStr">
        <is>
          <t>Open</t>
        </is>
      </c>
      <c r="P10" s="25" t="n"/>
      <c r="Q10" s="25" t="n"/>
      <c r="R10" s="25" t="inlineStr">
        <is>
          <t>Not Retested</t>
        </is>
      </c>
    </row>
    <row r="11" ht="120" customHeight="1">
      <c r="A11" s="12" t="inlineStr">
        <is>
          <t>MUS-QA-010</t>
        </is>
      </c>
      <c r="B11" s="25" t="inlineStr">
        <is>
          <t>2026-10-14</t>
        </is>
      </c>
      <c r="C11" s="25" t="inlineStr">
        <is>
          <t>MS-ADMO-015</t>
        </is>
      </c>
      <c r="D11" s="25" t="inlineStr">
        <is>
          <t>Delivered order's 배송 조회 section says the order is still being shipped</t>
        </is>
      </c>
      <c r="E11" s="25" t="inlineStr">
        <is>
          <t>Low</t>
        </is>
      </c>
      <c r="F11" s="25" t="inlineStr">
        <is>
          <t>P3</t>
        </is>
      </c>
      <c r="G11" s="25" t="inlineStr">
        <is>
          <t>Storefront</t>
        </is>
      </c>
      <c r="H11" s="25" t="inlineStr">
        <is>
          <t>static-1 (dev-static-1 storefront + admin panel)</t>
        </is>
      </c>
      <c r="I11" s="25" t="inlineStr">
        <is>
          <t>Seeded member; an order whose tracking was just updated to delivered (주문 완료 / 배송 완료)</t>
        </is>
      </c>
      <c r="J11" s="25" t="inlineStr">
        <is>
          <t>1. Admin: tracking card Update -&gt; Update Status
2. Customer: open the order in 주문 내역</t>
        </is>
      </c>
      <c r="K11" s="25" t="inlineStr">
        <is>
          <t>배송 조회 reflects the delivery</t>
        </is>
      </c>
      <c r="L11" s="25" t="inlineStr">
        <is>
          <t>Order chip 주문 완료 and item 배송 완료, but 배송 조회 reads '주문하신 상품이 배송 중입니다.'</t>
        </is>
      </c>
      <c r="M11" s="25" t="inlineStr">
        <is>
          <t>AO-2609180003-dev, 2026-10-14, read right after delivery. Not re-checked later; the text may follow the courier tracking state, so confirm before assigning.</t>
        </is>
      </c>
      <c r="N11" s="25" t="inlineStr">
        <is>
          <t>MS-ADMO-001 run (automation)</t>
        </is>
      </c>
      <c r="O11" s="25" t="inlineStr">
        <is>
          <t>Open</t>
        </is>
      </c>
      <c r="P11" s="25" t="n"/>
      <c r="Q11" s="25" t="n"/>
      <c r="R11" s="25" t="inlineStr">
        <is>
          <t>Not Retested</t>
        </is>
      </c>
    </row>
    <row r="12" ht="120" customHeight="1">
      <c r="A12" s="12" t="inlineStr">
        <is>
          <t>MUS-QA-011</t>
        </is>
      </c>
      <c r="B12" s="25" t="inlineStr">
        <is>
          <t>2026-10-14</t>
        </is>
      </c>
      <c r="C12" s="25" t="inlineStr">
        <is>
          <t>MS-ADMO-010</t>
        </is>
      </c>
      <c r="D12" s="25" t="inlineStr">
        <is>
          <t>After proof approval the customer is told cancellation is blocked by a payment adjustment that does not exist</t>
        </is>
      </c>
      <c r="E12" s="25" t="inlineStr">
        <is>
          <t>Low</t>
        </is>
      </c>
      <c r="F12" s="25" t="inlineStr">
        <is>
          <t>P3</t>
        </is>
      </c>
      <c r="G12" s="25" t="inlineStr">
        <is>
          <t>Storefront</t>
        </is>
      </c>
      <c r="H12" s="25" t="inlineStr">
        <is>
          <t>static-1 (dev-static-1 storefront + admin panel)</t>
        </is>
      </c>
      <c r="I12" s="25" t="inlineStr">
        <is>
          <t>Paid single-item order with no item changes; the customer has just approved the final proof</t>
        </is>
      </c>
      <c r="J12" s="25" t="inlineStr">
        <is>
          <t>1. Customer: approve the final proof (최종 시안 승인)
2. Read the order detail under 주문 취소</t>
        </is>
      </c>
      <c r="K12" s="25" t="inlineStr">
        <is>
          <t>Either cancellation is still possible, or the notice gives the real reason (e.g. the order is approved for production)</t>
        </is>
      </c>
      <c r="L12" s="25" t="inlineStr">
        <is>
          <t>'주문 취소가 일시적으로 불가능합니다' with '현재 해당 주문은 추가 결제 또는 환불 예정 금액과 같은 결제 금액 조정이 진행 중입니다.' The order (5,700원, 결제 완료) has no additional payment or refund pending.</t>
        </is>
      </c>
      <c r="M12" s="25" t="inlineStr">
        <is>
          <t>AO-2609180003-dev, 2026-10-14. Product to confirm the intended reason; may be expected that approved orders cannot be cancelled.</t>
        </is>
      </c>
      <c r="N12" s="25" t="inlineStr">
        <is>
          <t>MS-ADMO-001 run (automation)</t>
        </is>
      </c>
      <c r="O12" s="25" t="inlineStr">
        <is>
          <t>Open</t>
        </is>
      </c>
      <c r="P12" s="25" t="n"/>
      <c r="Q12" s="25" t="n"/>
      <c r="R12" s="25" t="inlineStr">
        <is>
          <t>Not Retested</t>
        </is>
      </c>
    </row>
    <row r="13" ht="120" customHeight="1">
      <c r="A13" s="12" t="inlineStr">
        <is>
          <t>MUS-QA-012</t>
        </is>
      </c>
      <c r="B13" s="25" t="inlineStr">
        <is>
          <t>2026-10-14</t>
        </is>
      </c>
      <c r="C13" s="25" t="inlineStr">
        <is>
          <t>MS-NAV-003</t>
        </is>
      </c>
      <c r="D13" s="25" t="inlineStr">
        <is>
          <t>Header search button is announced as the i18n key "layout.header.search"</t>
        </is>
      </c>
      <c r="E13" s="25" t="inlineStr">
        <is>
          <t>Medium</t>
        </is>
      </c>
      <c r="F13" s="25" t="inlineStr">
        <is>
          <t>P2</t>
        </is>
      </c>
      <c r="G13" s="25" t="inlineStr">
        <is>
          <t>Storefront</t>
        </is>
      </c>
      <c r="H13" s="25" t="inlineStr">
        <is>
          <t>production and static-1</t>
        </is>
      </c>
      <c r="I13" s="25" t="inlineStr">
        <is>
          <t>Any storefront page</t>
        </is>
      </c>
      <c r="J13" s="25" t="inlineStr">
        <is>
          <t>1. Open /kr
2. Inspect the header search button in the accessibility tree (or with a screen reader)</t>
        </is>
      </c>
      <c r="K13" s="25" t="inlineStr">
        <is>
          <t>An accessible name such as 검색</t>
        </is>
      </c>
      <c r="L13" s="25" t="inlineStr">
        <is>
          <t>The button's accessible name is the untranslated key "layout.header.search"</t>
        </is>
      </c>
      <c r="M13" s="25" t="inlineStr">
        <is>
          <t>2026-10-14, https://www.musticker.com/kr and dev-static-1. axe does not flag it because the button has a name, just the wrong one.</t>
        </is>
      </c>
      <c r="N13" s="25" t="inlineStr">
        <is>
          <t>Exploratory (QA)</t>
        </is>
      </c>
      <c r="O13" s="25" t="inlineStr">
        <is>
          <t>Open</t>
        </is>
      </c>
      <c r="P13" s="25" t="n"/>
      <c r="Q13" s="25" t="n"/>
      <c r="R13" s="25" t="inlineStr">
        <is>
          <t>Not Retested</t>
        </is>
      </c>
    </row>
    <row r="14" ht="120" customHeight="1">
      <c r="A14" s="12" t="inlineStr">
        <is>
          <t>MUS-QA-013</t>
        </is>
      </c>
      <c r="B14" s="25" t="inlineStr">
        <is>
          <t>2026-10-14</t>
        </is>
      </c>
      <c r="C14" s="25" t="inlineStr">
        <is>
          <t>MS-CFG-001</t>
        </is>
      </c>
      <c r="D14" s="25" t="inlineStr">
        <is>
          <t>Production product pages load media from the dev asset path</t>
        </is>
      </c>
      <c r="E14" s="25" t="inlineStr">
        <is>
          <t>Medium</t>
        </is>
      </c>
      <c r="F14" s="25" t="inlineStr">
        <is>
          <t>P2</t>
        </is>
      </c>
      <c r="G14" s="25" t="inlineStr">
        <is>
          <t>Storefront</t>
        </is>
      </c>
      <c r="H14" s="25" t="inlineStr">
        <is>
          <t>production</t>
        </is>
      </c>
      <c r="I14" s="25" t="inlineStr">
        <is>
          <t>Production storefront</t>
        </is>
      </c>
      <c r="J14" s="25" t="inlineStr">
        <is>
          <t>1. Open https://www.musticker.com/kr/stickers/die-cut-sticker
2. List the page's media requests</t>
        </is>
      </c>
      <c r="K14" s="25" t="inlineStr">
        <is>
          <t>Production loads production assets</t>
        </is>
      </c>
      <c r="L14" s="25" t="inlineStr">
        <is>
          <t>Videos come from https://static.musticker.com/dev/images/products/die-cut-sticker/... (hero/die-cut-sticker.mp4, features/02- and 03-product-story-video.mp4)</t>
        </is>
      </c>
      <c r="M14" s="25" t="inlineStr">
        <is>
          <t>2026-10-14. A cleanup of /dev/ would break production pages.</t>
        </is>
      </c>
      <c r="N14" s="25" t="inlineStr">
        <is>
          <t>Exploratory (QA)</t>
        </is>
      </c>
      <c r="O14" s="25" t="inlineStr">
        <is>
          <t>Open</t>
        </is>
      </c>
      <c r="P14" s="25" t="n"/>
      <c r="Q14" s="25" t="n"/>
      <c r="R14" s="25" t="inlineStr">
        <is>
          <t>Not Retested</t>
        </is>
      </c>
    </row>
    <row r="15" ht="120" customHeight="1">
      <c r="A15" s="12" t="inlineStr">
        <is>
          <t>MUS-QA-014</t>
        </is>
      </c>
      <c r="B15" s="25" t="inlineStr">
        <is>
          <t>2026-10-14</t>
        </is>
      </c>
      <c r="C15" s="25" t="inlineStr">
        <is>
          <t>MS-CFG-001</t>
        </is>
      </c>
      <c r="D15" s="25" t="inlineStr">
        <is>
          <t>Product pages weigh 16 MB and take about 10 s to load</t>
        </is>
      </c>
      <c r="E15" s="25" t="inlineStr">
        <is>
          <t>Low</t>
        </is>
      </c>
      <c r="F15" s="25" t="inlineStr">
        <is>
          <t>P3</t>
        </is>
      </c>
      <c r="G15" s="25" t="inlineStr">
        <is>
          <t>Storefront</t>
        </is>
      </c>
      <c r="H15" s="25" t="inlineStr">
        <is>
          <t>production</t>
        </is>
      </c>
      <c r="I15" s="25" t="inlineStr">
        <is>
          <t>Production storefront, fresh browser</t>
        </is>
      </c>
      <c r="J15" s="25" t="inlineStr">
        <is>
          <t>1. Open /kr/stickers/die-cut-sticker and wait for the load event
2. Sum the transferred bytes</t>
        </is>
      </c>
      <c r="K15" s="25" t="inlineStr">
        <is>
          <t>A product page loads in a few seconds</t>
        </is>
      </c>
      <c r="L15" s="25" t="inlineStr">
        <is>
          <t>245 requests, 16 MB, load at about 9.8 s. Largest: a 4.1 MB unresized review photo (static.musticker.com/prod/images/reviews/REVIEW1791857854_...jpg), the 1.7 MB font, a 1.2 MB pdf.worker for the studio loaded on every product page, an 800 KB icon sprite. The cart page is 5 MB / 197 requests / about 7.7 s.</t>
        </is>
      </c>
      <c r="M15" s="25" t="inlineStr">
        <is>
          <t>2026-10-14. Also makes the automated suite slower (each navigation waits for load).</t>
        </is>
      </c>
      <c r="N15" s="25" t="inlineStr">
        <is>
          <t>Exploratory (QA)</t>
        </is>
      </c>
      <c r="O15" s="25" t="inlineStr">
        <is>
          <t>Open</t>
        </is>
      </c>
      <c r="P15" s="25" t="n"/>
      <c r="Q15" s="25" t="n"/>
      <c r="R15" s="25" t="inlineStr">
        <is>
          <t>Not Retested</t>
        </is>
      </c>
    </row>
    <row r="16" ht="120" customHeight="1">
      <c r="A16" s="12" t="inlineStr">
        <is>
          <t>MUS-QA-015</t>
        </is>
      </c>
      <c r="B16" s="25" t="inlineStr">
        <is>
          <t>2026-10-14</t>
        </is>
      </c>
      <c r="C16" s="25" t="inlineStr">
        <is>
          <t>MS-CFG-029</t>
        </is>
      </c>
      <c r="D16" s="25" t="inlineStr">
        <is>
          <t>Studio order confirmation stays locked for about 40 s (never unlocks headless)</t>
        </is>
      </c>
      <c r="E16" s="25" t="inlineStr">
        <is>
          <t>Medium</t>
        </is>
      </c>
      <c r="F16" s="25" t="inlineStr">
        <is>
          <t>P2</t>
        </is>
      </c>
      <c r="G16" s="25" t="inlineStr">
        <is>
          <t>Storefront</t>
        </is>
      </c>
      <c r="H16" s="25" t="inlineStr">
        <is>
          <t>static-1</t>
        </is>
      </c>
      <c r="I16" s="25" t="inlineStr">
        <is>
          <t>Studio open with a print-quality design attached</t>
        </is>
      </c>
      <c r="J16" s="25" t="inlineStr">
        <is>
          <t>1. Click 장바구니 담기 in the studio
2. Watch the 주문 준비 완료 dialog</t>
        </is>
      </c>
      <c r="K16" s="25" t="inlineStr">
        <is>
          <t>The preview renders in a few seconds, or progress is shown</t>
        </is>
      </c>
      <c r="L16" s="25" t="inlineStr">
        <is>
          <t>The preview scenes, 네, 확인했어요! and 장바구니 담기 are disabled with no progress indication for about 40 s in a headed browser; in headless Chromium they were still disabled after 30 s. Opening the studio also fetches tokenizer_config.json from huggingface.co (404) and logs WebAssembly threading warnings.</t>
        </is>
      </c>
      <c r="M16" s="25" t="inlineStr">
        <is>
          <t>2026-10-14, 1,200x1,200 PNG at 75x75mm. Production's confirmation not tried (it would upload a design).</t>
        </is>
      </c>
      <c r="N16" s="25" t="inlineStr">
        <is>
          <t>Exploratory (QA)</t>
        </is>
      </c>
      <c r="O16" s="25" t="inlineStr">
        <is>
          <t>Open</t>
        </is>
      </c>
      <c r="P16" s="25" t="n"/>
      <c r="Q16" s="25" t="n"/>
      <c r="R16" s="25" t="inlineStr">
        <is>
          <t>Not Retested</t>
        </is>
      </c>
    </row>
    <row r="17" ht="120" customHeight="1">
      <c r="A17" s="12" t="inlineStr">
        <is>
          <t>MUS-QA-016</t>
        </is>
      </c>
      <c r="B17" s="25" t="inlineStr">
        <is>
          <t>2026-10-14</t>
        </is>
      </c>
      <c r="C17" s="25" t="inlineStr">
        <is>
          <t>MS-NAV-002</t>
        </is>
      </c>
      <c r="D17" s="25" t="inlineStr">
        <is>
          <t>Category cards and the new header menu show pre-rename product names</t>
        </is>
      </c>
      <c r="E17" s="25" t="inlineStr">
        <is>
          <t>Low</t>
        </is>
      </c>
      <c r="F17" s="25" t="inlineStr">
        <is>
          <t>P3</t>
        </is>
      </c>
      <c r="G17" s="25" t="inlineStr">
        <is>
          <t>Storefront</t>
        </is>
      </c>
      <c r="H17" s="25" t="inlineStr">
        <is>
          <t>production</t>
        </is>
      </c>
      <c r="I17" s="25" t="inlineStr">
        <is>
          <t>Production storefront</t>
        </is>
      </c>
      <c r="J17" s="25" t="inlineStr">
        <is>
          <t>1. Open /kr/stickers, /kr/roll-stickers, /kr/sheet-stickers and the header menus
2. Compare names with the product pages</t>
        </is>
      </c>
      <c r="K17" s="25" t="inlineStr">
        <is>
          <t>One name per product everywhere</t>
        </is>
      </c>
      <c r="L17" s="25" t="inlineStr">
        <is>
          <t>Cards and menu: 자유형 스티커, 키스컷 스티커, 아트지 롤 스티커, 레터링 스티커, 자유형/원형/... 시트 스티커. Product pages and static-1's cards: 자유형 조각스티커, 도무송 스티커, 종이 롤 스티커, 글자 커팅 스티커, ... 판스티커 (the 2026-09-24 rename).</t>
        </is>
      </c>
      <c r="M17" s="25" t="inlineStr">
        <is>
          <t>2026-10-14. Product to decide which naming is current; the suite keeps the renamed names and heals by href.</t>
        </is>
      </c>
      <c r="N17" s="25" t="inlineStr">
        <is>
          <t>Exploratory (QA)</t>
        </is>
      </c>
      <c r="O17" s="25" t="inlineStr">
        <is>
          <t>Open</t>
        </is>
      </c>
      <c r="P17" s="25" t="n"/>
      <c r="Q17" s="25" t="n"/>
      <c r="R17" s="25" t="inlineStr">
        <is>
          <t>Not Retested</t>
        </is>
      </c>
    </row>
    <row r="18" ht="120" customHeight="1">
      <c r="A18" s="12" t="inlineStr">
        <is>
          <t>MUS-QA-017</t>
        </is>
      </c>
      <c r="B18" s="25" t="inlineStr">
        <is>
          <t>2026-10-14</t>
        </is>
      </c>
      <c r="C18" s="25" t="inlineStr">
        <is>
          <t>MS-CFG-001</t>
        </is>
      </c>
      <c r="D18" s="25" t="inlineStr">
        <is>
          <t>Korean product page FAQ is in English on static-1</t>
        </is>
      </c>
      <c r="E18" s="25" t="inlineStr">
        <is>
          <t>Low</t>
        </is>
      </c>
      <c r="F18" s="25" t="inlineStr">
        <is>
          <t>P4</t>
        </is>
      </c>
      <c r="G18" s="25" t="inlineStr">
        <is>
          <t>Storefront</t>
        </is>
      </c>
      <c r="H18" s="25" t="inlineStr">
        <is>
          <t>static-1</t>
        </is>
      </c>
      <c r="I18" s="25" t="inlineStr">
        <is>
          <t>dev-static-1 storefront</t>
        </is>
      </c>
      <c r="J18" s="25" t="inlineStr">
        <is>
          <t>1. Open https://dev-static-1.musticker.com/kr/stickers/die-cut-sticker
2. Scroll to 자유형 조각스티커 FAQ</t>
        </is>
      </c>
      <c r="K18" s="25" t="inlineStr">
        <is>
          <t>Korean questions and answers, as on production</t>
        </is>
      </c>
      <c r="L18" s="25" t="inlineStr">
        <is>
          <t>Questions read "What is a die cut sticker?", "Are die cut stickers waterproof and durable?" ...</t>
        </is>
      </c>
      <c r="M18" s="25" t="inlineStr">
        <is>
          <t>2026-10-14. Production's FAQ is Korean. Likely dev content; check before it ships.</t>
        </is>
      </c>
      <c r="N18" s="25" t="inlineStr">
        <is>
          <t>Exploratory (QA)</t>
        </is>
      </c>
      <c r="O18" s="25" t="inlineStr">
        <is>
          <t>Open</t>
        </is>
      </c>
      <c r="P18" s="25" t="n"/>
      <c r="Q18" s="25" t="n"/>
      <c r="R18" s="25" t="inlineStr">
        <is>
          <t>Not Retested</t>
        </is>
      </c>
    </row>
    <row r="19" ht="120" customHeight="1">
      <c r="A19" s="12" t="inlineStr">
        <is>
          <t>MUS-QA-018</t>
        </is>
      </c>
      <c r="B19" s="25" t="inlineStr">
        <is>
          <t>2026-10-14</t>
        </is>
      </c>
      <c r="C19" s="25" t="inlineStr">
        <is>
          <t>MS-CFG-027</t>
        </is>
      </c>
      <c r="D19" s="25" t="inlineStr">
        <is>
          <t>Allowed custom size differs between the configurator and the studio (static-1)</t>
        </is>
      </c>
      <c r="E19" s="25" t="inlineStr">
        <is>
          <t>Low</t>
        </is>
      </c>
      <c r="F19" s="25" t="inlineStr">
        <is>
          <t>P3</t>
        </is>
      </c>
      <c r="G19" s="25" t="inlineStr">
        <is>
          <t>Storefront</t>
        </is>
      </c>
      <c r="H19" s="25" t="inlineStr">
        <is>
          <t>static-1</t>
        </is>
      </c>
      <c r="I19" s="25" t="inlineStr">
        <is>
          <t>dev-static-1 die-cut sticker page</t>
        </is>
      </c>
      <c r="J19" s="25" t="inlineStr">
        <is>
          <t>1. Read 원하는 크기 입력's 주문 가능 크기 on the product page
2. Open the studio and read the same in 사이즈/수량</t>
        </is>
      </c>
      <c r="K19" s="25" t="inlineStr">
        <is>
          <t>One allowed range</t>
        </is>
      </c>
      <c r="L19" s="25" t="inlineStr">
        <is>
          <t>Configurator: 25-1500mm. Studio: 10-1500mm. (Production's configurator says 10-200mm.)</t>
        </is>
      </c>
      <c r="M19" s="25" t="inlineStr">
        <is>
          <t>2026-10-14, unconfirmed which is intended.</t>
        </is>
      </c>
      <c r="N19" s="25" t="inlineStr">
        <is>
          <t>Exploratory (QA)</t>
        </is>
      </c>
      <c r="O19" s="25" t="inlineStr">
        <is>
          <t>Open</t>
        </is>
      </c>
      <c r="P19" s="25" t="n"/>
      <c r="Q19" s="25" t="n"/>
      <c r="R19" s="25" t="inlineStr">
        <is>
          <t>Not Retested</t>
        </is>
      </c>
    </row>
    <row r="20" ht="120" customHeight="1">
      <c r="A20" s="12" t="inlineStr">
        <is>
          <t>MUS-QA-019</t>
        </is>
      </c>
      <c r="B20" s="25" t="inlineStr">
        <is>
          <t>2026-10-14</t>
        </is>
      </c>
      <c r="C20" s="25" t="inlineStr">
        <is>
          <t>MS-UX-004</t>
        </is>
      </c>
      <c r="D20" s="25" t="inlineStr">
        <is>
          <t>Selected size and quantity are not exposed to assistive technology</t>
        </is>
      </c>
      <c r="E20" s="25" t="inlineStr">
        <is>
          <t>Low</t>
        </is>
      </c>
      <c r="F20" s="25" t="inlineStr">
        <is>
          <t>P3</t>
        </is>
      </c>
      <c r="G20" s="25" t="inlineStr">
        <is>
          <t>Storefront</t>
        </is>
      </c>
      <c r="H20" s="25" t="inlineStr">
        <is>
          <t>production and static-1</t>
        </is>
      </c>
      <c r="I20" s="25" t="inlineStr">
        <is>
          <t>Any product page</t>
        </is>
      </c>
      <c r="J20" s="25" t="inlineStr">
        <is>
          <t>1. Select a size and a quantity tier
2. Inspect the option buttons</t>
        </is>
      </c>
      <c r="K20" s="25" t="inlineStr">
        <is>
          <t>The chosen option reports its state (aria-pressed / aria-checked / role=radio)</t>
        </is>
      </c>
      <c r="L20" s="25" t="inlineStr">
        <is>
          <t>The only difference is an is-active CSS class; a screen reader cannot tell which size or quantity is selected.</t>
        </is>
      </c>
      <c r="M20" s="25" t="inlineStr">
        <is>
          <t>2026-10-14.</t>
        </is>
      </c>
      <c r="N20" s="25" t="inlineStr">
        <is>
          <t>Exploratory (QA)</t>
        </is>
      </c>
      <c r="O20" s="25" t="inlineStr">
        <is>
          <t>Open</t>
        </is>
      </c>
      <c r="P20" s="25" t="n"/>
      <c r="Q20" s="25" t="n"/>
      <c r="R20" s="25" t="inlineStr">
        <is>
          <t>Not Retested</t>
        </is>
      </c>
    </row>
    <row r="21" ht="120" customHeight="1">
      <c r="A21" s="12" t="inlineStr">
        <is>
          <t>MUS-QA-020</t>
        </is>
      </c>
      <c r="B21" s="25" t="inlineStr">
        <is>
          <t>2026-10-14</t>
        </is>
      </c>
      <c r="C21" s="25" t="inlineStr">
        <is>
          <t>MS-PRC-TBL-vinyl-lettering</t>
        </is>
      </c>
      <c r="D21" s="25" t="inlineStr">
        <is>
          <t>Lettering and transfer stickers cost more per sticker at 500 than at 300</t>
        </is>
      </c>
      <c r="E21" s="25" t="inlineStr">
        <is>
          <t>Medium</t>
        </is>
      </c>
      <c r="F21" s="25" t="inlineStr">
        <is>
          <t>P2</t>
        </is>
      </c>
      <c r="G21" s="25" t="inlineStr">
        <is>
          <t>Storefront</t>
        </is>
      </c>
      <c r="H21" s="25" t="inlineStr">
        <is>
          <t>production</t>
        </is>
      </c>
      <c r="I21" s="25" t="inlineStr">
        <is>
          <t>Production pricing tables 69 (vinyl-lettering) and 72 (transfer-sticker), live since 2026-09-29</t>
        </is>
      </c>
      <c r="J21" s="25" t="inlineStr">
        <is>
          <t>1. GET /sys/kr/pricing/69/exportation (and 72)
2. Compare the 300 and 500 columns of any row</t>
        </is>
      </c>
      <c r="K21" s="25" t="inlineStr">
        <is>
          <t>The rate per mm2 falls (or at least does not rise) as quantity grows</t>
        </is>
      </c>
      <c r="L21" s="25" t="inlineStr">
        <is>
          <t>In all 127 area rows of both tables the 500 rate is higher than the 300 rate, e.g. vinyl-lettering 900 mm2: 2.678 at 300, 2.781 at 500; transfer-sticker 900 mm2: 3.616 at 300, 3.837 at 500. A customer pays more per sticker for 500 than for 300.</t>
        </is>
      </c>
      <c r="M21" s="25" t="inlineStr">
        <is>
          <t>2026-10-14, exports saved as the committed CSVs (tests/fixtures/pricing/stickers/). The 500-5,000 rungs are new in these tables.</t>
        </is>
      </c>
      <c r="N21" s="25" t="inlineStr">
        <is>
          <t>Pricing suite (automation)</t>
        </is>
      </c>
      <c r="O21" s="25" t="inlineStr">
        <is>
          <t>Open</t>
        </is>
      </c>
      <c r="P21" s="25" t="n"/>
      <c r="Q21" s="25" t="n"/>
      <c r="R21" s="25" t="inlineStr">
        <is>
          <t>Not Retested</t>
        </is>
      </c>
    </row>
    <row r="22"/>
    <row r="23">
      <c r="A23" s="24" t="inlineStr">
        <is>
          <t>MUS-QA-001 to 009 were found by exploratory testing on 2026-09-25 while building the admin suite, MUS-QA-010 and 011 by the MS-ADMO-001 run on 2026-10-14, and MUS-QA-012 to 020 by storefront exploration the same day. Evidence gives order numbers and times so dev can find the records. Add new defects below; keep IDs sequential.</t>
        </is>
      </c>
    </row>
  </sheetData>
  <autoFilter ref="A1:R200"/>
  <dataValidations count="4">
    <dataValidation sqref="E2:E200" showDropDown="0" showInputMessage="0" showErrorMessage="0" allowBlank="1" type="list">
      <formula1>"Critical,High,Medium,Low"</formula1>
    </dataValidation>
    <dataValidation sqref="F2:F200" showDropDown="0" showInputMessage="0" showErrorMessage="0" allowBlank="1" type="list">
      <formula1>"P1,P2,P3,P4"</formula1>
    </dataValidation>
    <dataValidation sqref="O2:O200" showDropDown="0" showInputMessage="0" showErrorMessage="0" allowBlank="1" type="list">
      <formula1>"Open,In Progress,Fixed,Retest,Closed,Rejected,Deferred"</formula1>
    </dataValidation>
    <dataValidation sqref="R2:R200" showDropDown="0" showInputMessage="0" showErrorMessage="0" allowBlank="1" type="list">
      <formula1>"Not Retested,Pass,Fail"</formula1>
    </dataValidation>
  </dataValidations>
  <pageMargins left="0.75" right="0.75" top="1" bottom="1" header="0.5" footer="0.5"/>
</worksheet>
</file>

<file path=xl/worksheets/sheet9.xml><?xml version="1.0" encoding="utf-8"?>
<worksheet xmlns="http://schemas.openxmlformats.org/spreadsheetml/2006/main">
  <sheetPr>
    <outlinePr summaryBelow="1" summaryRight="1"/>
    <pageSetUpPr/>
  </sheetPr>
  <dimension ref="A1:B43"/>
  <sheetViews>
    <sheetView zoomScale="90" workbookViewId="0">
      <selection activeCell="A1" sqref="A1"/>
    </sheetView>
  </sheetViews>
  <sheetFormatPr baseColWidth="8" defaultRowHeight="15"/>
  <cols>
    <col width="26" customWidth="1" min="1" max="1"/>
    <col width="112" customWidth="1" min="2" max="2"/>
  </cols>
  <sheetData>
    <row r="1" ht="19.5" customHeight="1">
      <c r="A1" s="1" t="inlineStr">
        <is>
          <t>Changelog</t>
        </is>
      </c>
    </row>
    <row r="2">
      <c r="A2" s="2" t="inlineStr">
        <is>
          <t>What changed in the suite and this workbook, and why. Newest first.</t>
        </is>
      </c>
    </row>
    <row r="4">
      <c r="A4" s="3" t="inlineStr">
        <is>
          <t xml:space="preserve">2026-10-15 - workbook v1.3, suites</t>
        </is>
      </c>
    </row>
    <row r="5" ht="51" customHeight="1">
      <c r="A5" s="28" t="inlineStr">
        <is>
          <t xml:space="preserve">Sub-Area</t>
        </is>
      </c>
      <c r="B5" s="5" t="inlineStr">
        <is>
          <t xml:space="preserve">Sub-Area now names the suite a case belongs to (for example Registration, Change password, Guest order lookup), instead of a short label per case: 175 cases in 42 suites. Each automated suite is one Playwright spec file, and the suite name is that file's test.describe title. Planned admin cases are grouped into the suites their specs will use.</t>
        </is>
      </c>
    </row>
    <row r="6" ht="51" customHeight="1">
      <c r="A6" s="28" t="inlineStr">
        <is>
          <t xml:space="preserve">Playwright Spec</t>
        </is>
      </c>
      <c r="B6" s="5" t="inlineStr">
        <is>
          <t xml:space="preserve">Spec files moved into one folder per module: navigation, configuration, sheet-size-rules, cart, checkout, inquiry and ux replace smoke, purchasing, validation and regression. checkout-destructive.spec.ts is now guest-checkout-payment.spec.ts. MS-AUTH-029 moved to the Guest order lookup suite and MS-CRT-005 to the new Guest cart merge suite. Test titles, tags and test logic are unchanged; still 2,473 tests.</t>
        </is>
      </c>
    </row>
    <row r="8">
      <c r="A8" s="3" t="inlineStr">
        <is>
          <t xml:space="preserve">2026-10-14 - workbook v1.2, module-based TC IDs</t>
        </is>
      </c>
    </row>
    <row r="9" ht="38.25" customHeight="1">
      <c r="A9" s="28" t="inlineStr">
        <is>
          <t xml:space="preserve">TC IDs</t>
        </is>
      </c>
      <c r="B9" s="5" t="inlineStr">
        <is>
          <t xml:space="preserve">MS-V2-### and MS-ADM-### are replaced by MS-&lt;MODULE&gt;-###, so an ID names its module (the Area): NAV, DSC, CFG, SHT, CRT, CHK, AUTH, ACC, INQ, API, UX, ADMO (admin order processing) and ADMA (admin access &amp; order management), numbered 001 upward in workbook order. MS-PRC-*, MS-SEC-* and MS-WAF-* are unchanged. 140 cases renamed.</t>
        </is>
      </c>
    </row>
    <row r="10" ht="38.25" customHeight="1">
      <c r="A10" s="28" t="inlineStr">
        <is>
          <t xml:space="preserve">Legacy ID</t>
        </is>
      </c>
      <c r="B10" s="5" t="inlineStr">
        <is>
          <t xml:space="preserve">New column Y keeps each renamed case's previous ID. Older entries in this changelog, past Allure history and defect evidence still use the old IDs; look them up in that column.</t>
        </is>
      </c>
    </row>
    <row r="11" ht="38.25" customHeight="1">
      <c r="A11" s="28" t="inlineStr">
        <is>
          <t xml:space="preserve">Suite</t>
        </is>
      </c>
      <c r="B11" s="5" t="inlineStr">
        <is>
          <t xml:space="preserve">Playwright test titles, comments, fixtures and docs renamed to match (178 test titles; no test logic changed; still 2,473 tests). Defect Log TC IDs and the cross-references in the other tabs updated.</t>
        </is>
      </c>
    </row>
    <row r="13">
      <c r="A13" s="3" t="inlineStr">
        <is>
          <t>2026-10-14 - workbook v1.1, MS-ADM-001 re-run, storefront explored</t>
        </is>
      </c>
    </row>
    <row r="14" ht="38.25" customHeight="1">
      <c r="A14" s="28" t="inlineStr">
        <is>
          <t>MS-ADM-001</t>
        </is>
      </c>
      <c r="B14" s="5" t="inlineStr">
        <is>
          <t>Re-run on static-1 (AO-2609180003-dev, AO-2609090017-dev) and updated for four product changes: the proof-approval dialog needs an acknowledgement tick before 최종 시안 승인; A-FPA is labelled 최종 승인 완료; Move to Production is gone, so Mark as Printing moves the order to 제작 진행 중 and the item straight to 인쇄 진행 중 (no PO); completed orders moved to 이전 내역, and an order search with no match shows 주문을 찾을 수 없습니다. Every step passes on the updated code (see Tester Notes on the case).</t>
        </is>
      </c>
    </row>
    <row r="15" ht="38.25" customHeight="1">
      <c r="A15" s="28" t="inlineStr">
        <is>
          <t>Admin recording</t>
        </is>
      </c>
      <c r="B15" s="5" t="inlineStr">
        <is>
          <t>A failed run showed that Playwright's failure screenshot and error context capture every open page, the admin panel included - the suite promised they did not. Admin specs now turn screenshots and traces off, and the adminPage fixture refuses to start otherwise.</t>
        </is>
      </c>
    </row>
    <row r="16" ht="25.5" customHeight="1">
      <c r="A16" s="28" t="inlineStr">
        <is>
          <t>Cases</t>
        </is>
      </c>
      <c r="B16" s="5" t="inlineStr">
        <is>
          <t>MS-ADM-016 (Move to Production) withdrawn. MS-ADM-006, 013, 014, 015, 017, 020, 022, 030 and 031 updated to the new flow; Business Rules and Glossary likewise.</t>
        </is>
      </c>
    </row>
    <row r="17">
      <c r="A17" s="28" t="inlineStr">
        <is>
          <t>Defects</t>
        </is>
      </c>
      <c r="B17" s="5" t="inlineStr">
        <is>
          <t>MUS-QA-004 and MUS-QA-007 retested as fixed. MUS-QA-001 still reproduces for the printing and shipping entries. New: MUS-QA-010 and MUS-QA-011 (Low, to confirm).</t>
        </is>
      </c>
    </row>
    <row r="18">
      <c r="A18" s="28" t="inlineStr">
        <is>
          <t>Environments</t>
        </is>
      </c>
      <c r="B18" s="5" t="inlineStr">
        <is>
          <t>Instructions, gating, the Test Plan, Test Data and pricing ids now use the current environment names (static-1..8; development-1..4 retired and development-static/-static-2 renamed on 2026-09-25), and the CI schedule no longer lists the removed nightly regression. Historical "verified on development-N" notes are kept as they were.</t>
        </is>
      </c>
    </row>
    <row r="19">
      <c r="A19" s="28" t="inlineStr">
        <is>
          <t>Seed orders</t>
        </is>
      </c>
      <c r="B19" s="5" t="inlineStr">
        <is>
          <t>Re-checked on 2026-10-14: AO-2609180004-dev had been used elsewhere and AO-2609070004/0005-dev have two items, so one unused candidate is left (AO-2609070006-dev).</t>
        </is>
      </c>
    </row>
    <row r="20">
      <c r="A20" s="28" t="inlineStr">
        <is>
          <t>Admin login</t>
        </is>
      </c>
      <c r="B20" s="5" t="inlineStr">
        <is>
          <t>dev-static-1 has a tester OTP endpoint that returns the admin verification code; noted under MS-ADM-002 as a way to run admin cases without a person. Not used by the suite yet.</t>
        </is>
      </c>
    </row>
    <row r="21" ht="25.5" customHeight="1">
      <c r="A21" s="28" t="inlineStr">
        <is>
          <t>Storefront run</t>
        </is>
      </c>
      <c r="B21" s="5" t="inlineStr">
        <is>
          <t>Production-safe storefront specs (pricing excluded) before the updates: production 132 passed / 27 failed / 5 flaky; static-1 131 / 28 / 5. After: production 162 passed, 2 failed and 3 flaky (a tier-price repaint race, fixed and then 32/32 twice; transient 502s), 5 skipped; static-1 165 passed, 0 failed, 2 flaky (a network blip; MS-V2-035's timeout, now 90 s and passing on both), 5 skipped. Pricing on production: 261 of 2,286 failed, all on the replaced lettering and transfer tables; after the re-export 272/272 for those two and the other 2,016 unchanged and passing.</t>
        </is>
      </c>
    </row>
    <row r="22" ht="25.5" customHeight="1">
      <c r="A22" s="28" t="inlineStr">
        <is>
          <t>Order chooser</t>
        </is>
      </c>
      <c r="B22" s="5" t="inlineStr">
        <is>
          <t>다음 단계 now opens 어떻게 주문하시겠어요? (with a file / in the studio / file later), live on production. MS-V2-050 and 053 updated; new MS-V2-115.</t>
        </is>
      </c>
    </row>
    <row r="23">
      <c r="A23" s="28" t="inlineStr">
        <is>
          <t>Design studio</t>
        </is>
      </c>
      <c r="B23" s="5" t="inlineStr">
        <is>
          <t>New web studio (?studio=1): carries size and quantity over, prices 5% lower, refuses low-resolution designs. New MS-V2-116 and 117 (automated, production-safe) and MS-V2-118 (planned: add-to-cart blocked by MUS-QA-015). New fixture studio-design.png.</t>
        </is>
      </c>
    </row>
    <row r="24">
      <c r="A24" s="28" t="inlineStr">
        <is>
          <t>Header and footer</t>
        </is>
      </c>
      <c r="B24" s="5" t="inlineStr">
        <is>
          <t>Nav items open a product menu instead of the category page (MS-V2-002 rewritten, MS-V2-035 updated); the footer was redesigned (MS-V2-001, 020, 039).</t>
        </is>
      </c>
    </row>
    <row r="25">
      <c r="A25" s="28" t="inlineStr">
        <is>
          <t>Copy and options</t>
        </is>
      </c>
      <c r="B25" s="5" t="inlineStr">
        <is>
          <t>PVC 매트 is now 무광 화이트; sheet stickers show a discount on every tier (MS-V2-052 rewritten); rounded-roll, rounded-sheet and transfer H1s renamed back; production's category cards reverted to pre-rename names (MUS-QA-016).</t>
        </is>
      </c>
    </row>
    <row r="26" ht="25.5" customHeight="1">
      <c r="A26" s="28" t="inlineStr">
        <is>
          <t>Suite fixes</t>
        </is>
      </c>
      <c r="B26" s="5" t="inlineStr">
        <is>
          <t>selectSize waits for the size re-quote (stale tier prices failed the money-path tests); quantity tiers match the whole number (5 had been picking 50시트); category menu and review carousel clicks wait for Nuxt hydration (new waitForNuxtHydration); addToCart handles both the chooser and the older upload dialog (풀 컬러 레터링); the unused-preload warning is benign on every first-party host; new allowStudioModelLoadNoise guard option.</t>
        </is>
      </c>
    </row>
    <row r="27">
      <c r="A27" s="28" t="inlineStr">
        <is>
          <t>Pricing</t>
        </is>
      </c>
      <c r="B27" s="5" t="inlineStr">
        <is>
          <t>Production replaced the vinyl-lettering and transfer-sticker tables on 2026-09-29 (ids 69 and 72; same rates on rungs 1-300, new rungs 500-5,000): CSVs re-exported, registry updated, now production-only baselines. The known interpolation overcharge checks are pinned to their quantities (the longer ladder had moved the sampled quantity off them and hidden that the overcharge is still live). Pricing now 2,288 tests.</t>
        </is>
      </c>
    </row>
    <row r="28">
      <c r="A28" s="28" t="inlineStr">
        <is>
          <t>Storefront defects</t>
        </is>
      </c>
      <c r="B28" s="5" t="inlineStr">
        <is>
          <t>MUS-QA-012 to 020 logged (search button name, /dev/ assets on production, page weight, studio confirmation lock, pre-rename names, English FAQ on static-1, size-range mismatch, selection state not exposed, lettering 500-rung rate).</t>
        </is>
      </c>
    </row>
    <row r="29"/>
    <row r="30">
      <c r="A30" s="3" t="inlineStr">
        <is>
          <t>2026-09-25 - workbook v1, suite reorganised</t>
        </is>
      </c>
    </row>
    <row r="31">
      <c r="A31" s="4" t="inlineStr">
        <is>
          <t>Workbook</t>
        </is>
      </c>
      <c r="B31" s="5" t="inlineStr">
        <is>
          <t>This workbook replaces test-case.md as the test case source. Steps and expected results were re-derived from the spec code (the code is the source of truth); where test-case.md described more than the code checks, the case says so in Reference Notes, and three cases are marked Partial (MS-V2-012, 017, 018).</t>
        </is>
      </c>
    </row>
    <row r="32">
      <c r="A32" s="4" t="inlineStr">
        <is>
          <t>Admin panel</t>
        </is>
      </c>
      <c r="B32" s="5" t="inlineStr">
        <is>
          <t>Added the admin panel to the suite: MS-ADM-001 (storefront-to-admin order processing: design upload, rejection and resubmission, pass, proof, customer approval, production, printing, shipping, delivery) plus planned admin cases (MS-ADM-002 onward).</t>
        </is>
      </c>
    </row>
    <row r="33">
      <c r="A33" s="4" t="inlineStr">
        <is>
          <t>Folders</t>
        </is>
      </c>
      <c r="B33" s="5" t="inlineStr">
        <is>
          <t>Specs moved to tests/e2e/storefront/&lt;area&gt;/ and tests/e2e/admin/&lt;area&gt;/; page objects to tests/pom/storefront/ and tests/pom/admin/. Same 2,468 tests before and after (verified by comparing the test lists).</t>
        </is>
      </c>
    </row>
    <row r="34">
      <c r="A34" s="4" t="inlineStr">
        <is>
          <t>Docs</t>
        </is>
      </c>
      <c r="B34" s="5" t="inlineStr">
        <is>
          <t>New docs/RUNNING.md, docs/ARCHITECTURE.md, docs/CONVENTIONS.md; README.md is now a short entry point.</t>
        </is>
      </c>
    </row>
    <row r="35">
      <c r="A35" s="4" t="inlineStr">
        <is>
          <t>Defects</t>
        </is>
      </c>
      <c r="B35" s="5" t="inlineStr">
        <is>
          <t>Nine defects/questions from exploratory testing logged (MUS-QA-001 to 009).</t>
        </is>
      </c>
    </row>
    <row r="36"/>
    <row r="37">
      <c r="A37" s="3" t="inlineStr">
        <is>
          <t>KNOWN SUITE ISSUES (not product defects)</t>
        </is>
      </c>
    </row>
    <row r="38">
      <c r="A38" s="4" t="inlineStr">
        <is>
          <t>dev-static-1 checkout</t>
        </is>
      </c>
      <c r="B38" s="5" t="inlineStr">
        <is>
          <t>Cloudflare check before payment blocks automated browsers; guest checkout there shows no OTP popup on email blur. MS-V2-025 is verified on development-3 only.</t>
        </is>
      </c>
    </row>
    <row r="39">
      <c r="A39" s="4" t="inlineStr">
        <is>
          <t>Upload dialog (dev-static-1)</t>
        </is>
      </c>
      <c r="B39" s="5" t="inlineStr">
        <is>
          <t>The product upload dialog button is now 파일로 주문하기 and the file-type copy reads 'ai · psd · pdf · eps · tif · png · jpg'. ProductV2Page.expectDesignUploadModal and MS-V2-053 will fail when this reaches production - update storefront-data.ts then.</t>
        </is>
      </c>
    </row>
    <row r="40">
      <c r="A40" s="4" t="inlineStr">
        <is>
          <t>MS-V2-058</t>
        </is>
      </c>
      <c r="B40" s="5" t="inlineStr">
        <is>
          <t>Marked test.fixme (known alt-text defect on the size guide); skipped until fixed.</t>
        </is>
      </c>
    </row>
    <row r="41"/>
    <row r="42">
      <c r="A42" s="3" t="inlineStr">
        <is>
          <t>2026-08-10 - test-case.md v1</t>
        </is>
      </c>
    </row>
    <row r="43">
      <c r="A43" s="4" t="inlineStr">
        <is>
          <t>Origin</t>
        </is>
      </c>
      <c r="B43" s="5" t="inlineStr">
        <is>
          <t>Storefront v2 test case matrix (MS-V2-001 onward) and automation standards, now carried by this workbook and docs/CONVENTIONS.md.</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2026-09-25T05:56:02Z</dcterms:created>
  <dcterms:modified xsi:type="dcterms:W3CDTF">2026-10-14T04:04:26Z</dcterms:modified>
  <cp:lastModifiedBy>Trainee81.glophics@gmail.com</cp:lastModifiedBy>
</cp:coreProperties>
</file>