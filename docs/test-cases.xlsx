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9"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 name="Production Audit 2026-10-23" sheetId="10" state="visible" r:id="rId10"/>
    <sheet name="Testing tiers" sheetId="11" state="visible" r:id="rId11"/>
    <sheet name="Dev-2 Audit 2026-10-23" sheetId="12" state="visible" r:id="rId12"/>
  </sheets>
  <definedNames>
    <definedName name="_xlnm._FilterDatabase" localSheetId="3" hidden="1">'Test Cases'!$A$1:$Y$192</definedName>
    <definedName name="_xlnm._FilterDatabase" localSheetId="7" hidden="1">'Defect Log'!$A$1:$R$28</definedName>
    <definedName name="_xlnm._FilterDatabase" localSheetId="10" hidden="1">'Testing tiers'!$A$1:$D$11</definedName>
    <definedName name="_xlnm._FilterDatabase" localSheetId="11" hidden="1">'Dev-2 Audit 2026-10-23'!$A$9:$H$204</definedName>
  </definedNames>
  <calcPr calcId="19102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
      <name val="Calibri"/>
      <b val="1"/>
      <color rgb="00FFFFFF"/>
      <sz val="16"/>
    </font>
    <font>
      <b val="1"/>
    </font>
    <font>
      <name val="Calibri"/>
      <family val="2"/>
      <color theme="10"/>
      <sz val="12"/>
      <scheme val="minor"/>
    </font>
    <font>
      <b val="1"/>
      <color rgb="00FFFFFF"/>
    </font>
  </fonts>
  <fills count="11">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
      <patternFill patternType="solid">
        <fgColor rgb="0017365D"/>
      </patternFill>
    </fill>
    <fill>
      <patternFill patternType="solid">
        <fgColor rgb="00E2F0D9"/>
      </patternFill>
    </fill>
    <fill>
      <patternFill patternType="solid">
        <fgColor rgb="00FCE4D6"/>
      </patternFill>
    </fill>
    <fill>
      <patternFill patternType="solid">
        <fgColor rgb="00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5" fillId="0" borderId="0"/>
  </cellStyleXfs>
  <cellXfs count="40">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xf numFmtId="0" fontId="5" fillId="0"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4" borderId="1" applyAlignment="1" pivotButton="0" quotePrefix="0" xfId="0">
      <alignment vertical="top" wrapText="1"/>
    </xf>
    <xf numFmtId="0" fontId="13" fillId="7" borderId="0" pivotButton="0" quotePrefix="0" xfId="0"/>
    <xf numFmtId="0" fontId="14" fillId="0" borderId="0" pivotButton="0" quotePrefix="0" xfId="0"/>
    <xf numFmtId="0" fontId="0" fillId="0" borderId="0" applyAlignment="1" pivotButton="0" quotePrefix="0" xfId="0">
      <alignment vertical="top" wrapText="1"/>
    </xf>
    <xf numFmtId="0" fontId="0" fillId="8" borderId="0" applyAlignment="1" pivotButton="0" quotePrefix="0" xfId="0">
      <alignment vertical="top" wrapText="1"/>
    </xf>
    <xf numFmtId="0" fontId="15" fillId="0" borderId="0" applyAlignment="1" pivotButton="0" quotePrefix="0" xfId="1">
      <alignment wrapText="1"/>
    </xf>
    <xf numFmtId="0" fontId="0" fillId="9" borderId="0" applyAlignment="1" pivotButton="0" quotePrefix="0" xfId="0">
      <alignment vertical="top" wrapText="1"/>
    </xf>
    <xf numFmtId="0" fontId="16" fillId="7" borderId="0" applyAlignment="1" pivotButton="0" quotePrefix="0" xfId="0">
      <alignment vertical="top" wrapText="1"/>
    </xf>
    <xf numFmtId="0" fontId="0" fillId="10" borderId="0" applyAlignment="1" pivotButton="0" quotePrefix="0" xfId="0">
      <alignment vertical="top" wrapText="1"/>
    </xf>
  </cellXfs>
  <cellStyles count="2">
    <cellStyle name="Normal" xfId="0" builtinId="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ables/table1.xml><?xml version="1.0" encoding="utf-8"?>
<table xmlns="http://schemas.openxmlformats.org/spreadsheetml/2006/main" id="1" name="ProductionAuditResults" displayName="ProductionAuditResults" ref="A8:F42" headerRowCount="1">
  <autoFilter ref="A8:F42"/>
  <tableColumns count="6">
    <tableColumn id="1" name="Case ID"/>
    <tableColumn id="2" name="Project"/>
    <tableColumn id="3" name="Test"/>
    <tableColumn id="4" name="Result"/>
    <tableColumn id="5" name="Evidence"/>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hyperlink" Target="../test-results/production-baseline.json" TargetMode="External" Id="rId1" /><Relationship Type="http://schemas.openxmlformats.org/officeDocument/2006/relationships/hyperlink" Target="../test-results/production-baseline.json" TargetMode="External" Id="rId2" /><Relationship Type="http://schemas.openxmlformats.org/officeDocument/2006/relationships/hyperlink" Target="../test-results/production-baseline.json" TargetMode="External" Id="rId3" /><Relationship Type="http://schemas.openxmlformats.org/officeDocument/2006/relationships/hyperlink" Target="../test-results/production-baseline.json" TargetMode="External" Id="rId4" /><Relationship Type="http://schemas.openxmlformats.org/officeDocument/2006/relationships/hyperlink" Target="../test-results/production-baseline.json" TargetMode="External" Id="rId5" /><Relationship Type="http://schemas.openxmlformats.org/officeDocument/2006/relationships/hyperlink" Target="../test-results/production-baseline.json" TargetMode="External" Id="rId6" /><Relationship Type="http://schemas.openxmlformats.org/officeDocument/2006/relationships/hyperlink" Target="../test-results/production-baseline.json" TargetMode="External" Id="rId7" /><Relationship Type="http://schemas.openxmlformats.org/officeDocument/2006/relationships/hyperlink" Target="../test-results/production-baseline.json" TargetMode="External" Id="rId8" /><Relationship Type="http://schemas.openxmlformats.org/officeDocument/2006/relationships/hyperlink" Target="../test-results/production-baseline.json" TargetMode="External" Id="rId9" /><Relationship Type="http://schemas.openxmlformats.org/officeDocument/2006/relationships/hyperlink" Target="../test-results/production-baseline.json" TargetMode="External" Id="rId10" /><Relationship Type="http://schemas.openxmlformats.org/officeDocument/2006/relationships/hyperlink" Target="../test-results/production-baseline.json" TargetMode="External" Id="rId11" /><Relationship Type="http://schemas.openxmlformats.org/officeDocument/2006/relationships/hyperlink" Target="../test-results/production-audit-final.json" TargetMode="External" Id="rId12" /><Relationship Type="http://schemas.openxmlformats.org/officeDocument/2006/relationships/hyperlink" Target="../test-results/production-audit-final.json" TargetMode="External" Id="rId13" /><Relationship Type="http://schemas.openxmlformats.org/officeDocument/2006/relationships/hyperlink" Target="../test-results/production-baseline.json" TargetMode="External" Id="rId14" /><Relationship Type="http://schemas.openxmlformats.org/officeDocument/2006/relationships/hyperlink" Target="../test-results/production-audit-final.json" TargetMode="External" Id="rId15" /><Relationship Type="http://schemas.openxmlformats.org/officeDocument/2006/relationships/hyperlink" Target="../test-results/production-audit-final.json" TargetMode="External" Id="rId16" /><Relationship Type="http://schemas.openxmlformats.org/officeDocument/2006/relationships/hyperlink" Target="../test-results/production-audit-final.json" TargetMode="External" Id="rId17" /><Relationship Type="http://schemas.openxmlformats.org/officeDocument/2006/relationships/hyperlink" Target="../test-results/production-audit-final.json" TargetMode="External" Id="rId18" /><Relationship Type="http://schemas.openxmlformats.org/officeDocument/2006/relationships/hyperlink" Target="../test-results/production-audit-final.json" TargetMode="External" Id="rId19" /><Relationship Type="http://schemas.openxmlformats.org/officeDocument/2006/relationships/hyperlink" Target="../test-results/production-audit-final.json" TargetMode="External" Id="rId20" /><Relationship Type="http://schemas.openxmlformats.org/officeDocument/2006/relationships/hyperlink" Target="../test-results/production-audit-final.json" TargetMode="External" Id="rId21" /><Relationship Type="http://schemas.openxmlformats.org/officeDocument/2006/relationships/hyperlink" Target="../test-results/production-audit-final.json" TargetMode="External" Id="rId22" /><Relationship Type="http://schemas.openxmlformats.org/officeDocument/2006/relationships/hyperlink" Target="../test-results/production-baseline.json" TargetMode="External" Id="rId23" /><Relationship Type="http://schemas.openxmlformats.org/officeDocument/2006/relationships/hyperlink" Target="../test-results/production-baseline.json" TargetMode="External" Id="rId24" /><Relationship Type="http://schemas.openxmlformats.org/officeDocument/2006/relationships/hyperlink" Target="../test-results/production-baseline.json" TargetMode="External" Id="rId25" /><Relationship Type="http://schemas.openxmlformats.org/officeDocument/2006/relationships/hyperlink" Target="../test-results/production-baseline.json" TargetMode="External" Id="rId26" /><Relationship Type="http://schemas.openxmlformats.org/officeDocument/2006/relationships/hyperlink" Target="../test-results/production-baseline.json" TargetMode="External" Id="rId27" /><Relationship Type="http://schemas.openxmlformats.org/officeDocument/2006/relationships/hyperlink" Target="../test-results/production-baseline.json" TargetMode="External" Id="rId28" /><Relationship Type="http://schemas.openxmlformats.org/officeDocument/2006/relationships/hyperlink" Target="../test-results/production-baseline.json" TargetMode="External" Id="rId29" /><Relationship Type="http://schemas.openxmlformats.org/officeDocument/2006/relationships/hyperlink" Target="../test-results/production-mobile.json" TargetMode="External" Id="rId30" /><Relationship Type="http://schemas.openxmlformats.org/officeDocument/2006/relationships/hyperlink" Target="../test-results/production-audit-final.json" TargetMode="External" Id="rId31" /><Relationship Type="http://schemas.openxmlformats.org/officeDocument/2006/relationships/hyperlink" Target="../test-results/production-search-confirmation.json" TargetMode="External" Id="rId32" /><Relationship Type="http://schemas.openxmlformats.org/officeDocument/2006/relationships/hyperlink" Target="../test-results/production-baseline.json" TargetMode="External" Id="rId33" /><Relationship Type="http://schemas.openxmlformats.org/officeDocument/2006/relationships/hyperlink" Target="../test-results/production-baseline.json" TargetMode="External" Id="rId34" /><Relationship Type="http://schemas.openxmlformats.org/officeDocument/2006/relationships/table" Target="/xl/tables/table1.xml" Id="rId35"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v1.4 | 2026-10-15</t>
        </is>
      </c>
    </row>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 The Legacy ID column (Y) shows the ID a case had before workbook v1.2 (MS-V2-### / MS-ADM-###); it is for reference only. Area is the module and Sub-Area is the suite: each suite is one Playwright spec file in that module's folder, and its test.describe title is the Sub-Area.</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MS-ADMO-001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MS-ADMA-001),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92"/>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 width="14" customWidth="1" min="25" max="25"/>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c r="Y1" s="6" t="inlineStr">
        <is>
          <t>Legacy ID</t>
        </is>
      </c>
    </row>
    <row r="2" ht="150" customHeight="1">
      <c r="A2" s="12" t="inlineStr">
        <is>
          <t>MS-NAV-001</t>
        </is>
      </c>
      <c r="B2" s="25" t="inlineStr">
        <is>
          <t>Storefront</t>
        </is>
      </c>
      <c r="C2" s="25" t="inlineStr">
        <is>
          <t>1. Smoke &amp; core navigation</t>
        </is>
      </c>
      <c r="D2" s="25" t="inlineStr">
        <is>
          <t>Storefront smoke</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tests/e2e/storefront/navigation/storefront-smoke.spec.ts</t>
        </is>
      </c>
      <c r="P2" s="25" t="inlineStr">
        <is>
          <t>MS-NAV-001 homepage loads with critical public content</t>
        </is>
      </c>
      <c r="Q2" s="25" t="inlineStr">
        <is>
          <t>@smoke @production @critical</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Fail</t>
        </is>
      </c>
      <c r="U2" s="15" t="inlineStr">
        <is>
          <t>MUS-QA-023</t>
        </is>
      </c>
      <c r="V2" s="15" t="inlineStr">
        <is>
          <t>Codex / Playwright</t>
        </is>
      </c>
      <c r="W2" s="15" t="inlineStr">
        <is>
          <t>2026-10-23</t>
        </is>
      </c>
      <c r="X2" s="15" t="inlineStr">
        <is>
          <t>dev-2; retries=0. Full desktop: 1 passed, 0 failed, 0 skipped; Cross-browser critical: 1 passed, 1 failed, 0 skipped. See Dev-2 Audit 2026-10-23.</t>
        </is>
      </c>
      <c r="Y2" s="25" t="inlineStr">
        <is>
          <t>MS-V2-001</t>
        </is>
      </c>
    </row>
    <row r="3" ht="150" customHeight="1">
      <c r="A3" s="12" t="inlineStr">
        <is>
          <t>MS-NAV-002</t>
        </is>
      </c>
      <c r="B3" s="25" t="inlineStr">
        <is>
          <t>Storefront</t>
        </is>
      </c>
      <c r="C3" s="25" t="inlineStr">
        <is>
          <t>1. Smoke &amp; core navigation</t>
        </is>
      </c>
      <c r="D3" s="25" t="inlineStr">
        <is>
          <t>Storefront smoke</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tests/e2e/storefront/navigation/storefront-smoke.spec.ts</t>
        </is>
      </c>
      <c r="P3" s="25" t="inlineStr">
        <is>
          <t>MS-NAV-002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dev-1; the page object retries until the menu reports open.</t>
        </is>
      </c>
      <c r="T3" s="14" t="inlineStr">
        <is>
          <t>Pass</t>
        </is>
      </c>
      <c r="U3" s="15" t="n"/>
      <c r="V3" s="15" t="inlineStr">
        <is>
          <t>Codex / Playwright</t>
        </is>
      </c>
      <c r="W3" s="15" t="inlineStr">
        <is>
          <t>2026-10-23</t>
        </is>
      </c>
      <c r="X3" s="15" t="inlineStr">
        <is>
          <t>dev-2; retries=0. Full desktop: 1 passed, 0 failed, 0 skipped. See Dev-2 Audit 2026-10-23.</t>
        </is>
      </c>
      <c r="Y3" s="25" t="inlineStr">
        <is>
          <t>MS-V2-002</t>
        </is>
      </c>
    </row>
    <row r="4" ht="150" customHeight="1">
      <c r="A4" s="12" t="inlineStr">
        <is>
          <t>MS-NAV-003</t>
        </is>
      </c>
      <c r="B4" s="25" t="inlineStr">
        <is>
          <t>Storefront</t>
        </is>
      </c>
      <c r="C4" s="25" t="inlineStr">
        <is>
          <t>1. Smoke &amp; core navigation</t>
        </is>
      </c>
      <c r="D4" s="25" t="inlineStr">
        <is>
          <t>Storefront smoke</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tests/e2e/storefront/navigation/storefront-smoke.spec.ts</t>
        </is>
      </c>
      <c r="P4" s="25" t="inlineStr">
        <is>
          <t>MS-NAV-003 header search opens and finds hologram sticker content</t>
        </is>
      </c>
      <c r="Q4" s="25" t="inlineStr">
        <is>
          <t>@smoke @production @critical</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Fail</t>
        </is>
      </c>
      <c r="U4" s="15" t="inlineStr">
        <is>
          <t>MUS-QA-023 / MUS-QA-024</t>
        </is>
      </c>
      <c r="V4" s="15" t="inlineStr">
        <is>
          <t>Codex / Playwright</t>
        </is>
      </c>
      <c r="W4" s="15" t="inlineStr">
        <is>
          <t>2026-10-23</t>
        </is>
      </c>
      <c r="X4" s="15" t="inlineStr">
        <is>
          <t>dev-2; retries=0. Full desktop: 1 passed, 0 failed, 0 skipped; Cross-browser critical: 0 passed, 2 failed, 0 skipped. See Dev-2 Audit 2026-10-23.</t>
        </is>
      </c>
      <c r="Y4" s="25" t="inlineStr">
        <is>
          <t>MS-V2-003</t>
        </is>
      </c>
    </row>
    <row r="5" ht="150" customHeight="1">
      <c r="A5" s="12" t="inlineStr">
        <is>
          <t>MS-NAV-004</t>
        </is>
      </c>
      <c r="B5" s="25" t="inlineStr">
        <is>
          <t>Storefront</t>
        </is>
      </c>
      <c r="C5" s="25" t="inlineStr">
        <is>
          <t>1. Smoke &amp; core navigation</t>
        </is>
      </c>
      <c r="D5" s="25" t="inlineStr">
        <is>
          <t>Storefront smoke</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tests/e2e/storefront/navigation/storefront-smoke.spec.ts</t>
        </is>
      </c>
      <c r="P5" s="25" t="inlineStr">
        <is>
          <t>MS-NAV-004 empty cart opens without broken state</t>
        </is>
      </c>
      <c r="Q5" s="25" t="inlineStr">
        <is>
          <t>@smoke @production @critical</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Fail</t>
        </is>
      </c>
      <c r="U5" s="15" t="inlineStr">
        <is>
          <t>MUS-QA-023 / MUS-QA-024</t>
        </is>
      </c>
      <c r="V5" s="15" t="inlineStr">
        <is>
          <t>Codex / Playwright</t>
        </is>
      </c>
      <c r="W5" s="15" t="inlineStr">
        <is>
          <t>2026-10-23</t>
        </is>
      </c>
      <c r="X5" s="15" t="inlineStr">
        <is>
          <t>dev-2; retries=0. Full desktop: 1 passed, 0 failed, 0 skipped; Cross-browser critical: 0 passed, 2 failed, 0 skipped. See Dev-2 Audit 2026-10-23.</t>
        </is>
      </c>
      <c r="Y5" s="25" t="inlineStr">
        <is>
          <t>MS-V2-004</t>
        </is>
      </c>
    </row>
    <row r="6" ht="150" customHeight="1">
      <c r="A6" s="12" t="inlineStr">
        <is>
          <t>MS-NAV-005</t>
        </is>
      </c>
      <c r="B6" s="25" t="inlineStr">
        <is>
          <t>Storefront</t>
        </is>
      </c>
      <c r="C6" s="25" t="inlineStr">
        <is>
          <t>1. Smoke &amp; core navigation</t>
        </is>
      </c>
      <c r="D6" s="25" t="inlineStr">
        <is>
          <t>Storefront smoke</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tests/e2e/storefront/navigation/storefront-smoke.spec.ts</t>
        </is>
      </c>
      <c r="P6" s="25" t="inlineStr">
        <is>
          <t>MS-NAV-005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Pass</t>
        </is>
      </c>
      <c r="U6" s="15" t="n"/>
      <c r="V6" s="15" t="inlineStr">
        <is>
          <t>Codex / Playwright</t>
        </is>
      </c>
      <c r="W6" s="15" t="inlineStr">
        <is>
          <t>2026-10-23</t>
        </is>
      </c>
      <c r="X6" s="15" t="inlineStr">
        <is>
          <t>dev-2; retries=0. Full desktop: 1 passed, 0 failed, 0 skipped. See Dev-2 Audit 2026-10-23.</t>
        </is>
      </c>
      <c r="Y6" s="25" t="inlineStr">
        <is>
          <t>MS-V2-005</t>
        </is>
      </c>
    </row>
    <row r="7" ht="150" customHeight="1">
      <c r="A7" s="12" t="inlineStr">
        <is>
          <t>MS-NAV-006</t>
        </is>
      </c>
      <c r="B7" s="25" t="inlineStr">
        <is>
          <t>Storefront</t>
        </is>
      </c>
      <c r="C7" s="25" t="inlineStr">
        <is>
          <t>1. Smoke &amp; core navigation</t>
        </is>
      </c>
      <c r="D7" s="25" t="inlineStr">
        <is>
          <t>Storefront smoke</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Load home and inspect footer.
2. Check Terms, Privacy and FAQ hrefs on that page.
3. Visit each destination once and verify its URL, without reloading home between them.</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tests/e2e/storefront/navigation/storefront-smoke.spec.ts</t>
        </is>
      </c>
      <c r="P7" s="25" t="inlineStr">
        <is>
          <t>MS-NAV-006 footer legal and support links are reachable</t>
        </is>
      </c>
      <c r="Q7" s="25" t="inlineStr">
        <is>
          <t>@smoke @production</t>
        </is>
      </c>
      <c r="R7" s="13" t="n">
        <v>1</v>
      </c>
      <c r="S7" s="25" t="inlineStr">
        <is>
          <t>2026-10-23 dev-2: original six-document sequence exhausted 60s and logged fetch/Nuxt errors. Removed two redundant home loads; retained href and destination assertions. Focused replay passed in 17.6s.</t>
        </is>
      </c>
      <c r="T7" s="14" t="inlineStr">
        <is>
          <t>Pass</t>
        </is>
      </c>
      <c r="U7" s="15" t="n"/>
      <c r="V7" s="15" t="inlineStr">
        <is>
          <t>Codex / Playwright</t>
        </is>
      </c>
      <c r="W7" s="15" t="inlineStr">
        <is>
          <t>2026-10-23</t>
        </is>
      </c>
      <c r="X7" s="15" t="inlineStr">
        <is>
          <t>dev-2; retries=0. Full desktop: 0 passed, 1 failed, 0 skipped; Focused replay: 1 passed, 0 failed, 0 skipped. See Dev-2 Audit 2026-10-23.</t>
        </is>
      </c>
      <c r="Y7" s="25" t="inlineStr">
        <is>
          <t>MS-V2-020</t>
        </is>
      </c>
    </row>
    <row r="8" ht="150" customHeight="1">
      <c r="A8" s="12" t="inlineStr">
        <is>
          <t>MS-NAV-007</t>
        </is>
      </c>
      <c r="B8" s="25" t="inlineStr">
        <is>
          <t>Storefront</t>
        </is>
      </c>
      <c r="C8" s="25" t="inlineStr">
        <is>
          <t>1. Smoke &amp; core navigation</t>
        </is>
      </c>
      <c r="D8" s="25" t="inlineStr">
        <is>
          <t>Storefront smoke</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tests/e2e/storefront/navigation/storefront-smoke.spec.ts</t>
        </is>
      </c>
      <c r="P8" s="25" t="inlineStr">
        <is>
          <t>MS-NAV-007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MS-UX-004).</t>
        </is>
      </c>
      <c r="T8" s="14" t="inlineStr">
        <is>
          <t>Pass</t>
        </is>
      </c>
      <c r="U8" s="15" t="n"/>
      <c r="V8" s="15" t="inlineStr">
        <is>
          <t>Codex / Playwright</t>
        </is>
      </c>
      <c r="W8" s="15" t="inlineStr">
        <is>
          <t>2026-10-23</t>
        </is>
      </c>
      <c r="X8" s="15" t="inlineStr">
        <is>
          <t>dev-2; retries=0. Full desktop: 1 passed, 0 failed, 0 skipped. See Dev-2 Audit 2026-10-23.</t>
        </is>
      </c>
      <c r="Y8" s="25" t="inlineStr">
        <is>
          <t>MS-V2-021</t>
        </is>
      </c>
    </row>
    <row r="9" ht="150" customHeight="1">
      <c r="A9" s="12" t="inlineStr">
        <is>
          <t>MS-NAV-008</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Open home in mobile emulation.
2. Check home hero and embedded inquiry fields before navigating away.
3. Search and inspect results; open cart.
4. Open product, select size and quantity, and verify Next is enabled.</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tests/e2e/storefront/navigation/mobile-critical.spec.ts</t>
        </is>
      </c>
      <c r="P9" s="25" t="inlineStr">
        <is>
          <t>MS-NAV-008 home, search, cart, product config, and inquiry work on mobile</t>
        </is>
      </c>
      <c r="Q9" s="25" t="inlineStr">
        <is>
          <t>@smoke @production @mobile</t>
        </is>
      </c>
      <c r="R9" s="13" t="n">
        <v>1</v>
      </c>
      <c r="S9" s="25" t="inlineStr">
        <is>
          <t>2026-10-23 dev-2: original flow timed out on a repeated home load. Inquiry checks moved to the initial home visit; corrected replay passed in 17.7s. Real-device qualification remains separate.</t>
        </is>
      </c>
      <c r="T9" s="14" t="inlineStr">
        <is>
          <t>Pass</t>
        </is>
      </c>
      <c r="U9" s="15" t="n"/>
      <c r="V9" s="15" t="inlineStr">
        <is>
          <t>Codex / Playwright</t>
        </is>
      </c>
      <c r="W9" s="15" t="inlineStr">
        <is>
          <t>2026-10-23</t>
        </is>
      </c>
      <c r="X9" s="15" t="inlineStr">
        <is>
          <t>dev-2; retries=0. Mobile initial: 0 passed, 1 failed, 0 skipped; Mobile corrected: 1 passed, 0 failed, 0 skipped. See Dev-2 Audit 2026-10-23.</t>
        </is>
      </c>
      <c r="Y9" s="25" t="inlineStr">
        <is>
          <t>MS-V2-022</t>
        </is>
      </c>
    </row>
    <row r="10" ht="150" customHeight="1">
      <c r="A10" s="12" t="inlineStr">
        <is>
          <t>MS-DSC-001</t>
        </is>
      </c>
      <c r="B10" s="25" t="inlineStr">
        <is>
          <t>Storefront</t>
        </is>
      </c>
      <c r="C10" s="25" t="inlineStr">
        <is>
          <t>2. Discovery &amp; content</t>
        </is>
      </c>
      <c r="D10" s="25" t="inlineStr">
        <is>
          <t>Category discovery</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MS-DSC-001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Pass</t>
        </is>
      </c>
      <c r="U10" s="15" t="n"/>
      <c r="V10" s="15" t="inlineStr">
        <is>
          <t>Codex / Playwright</t>
        </is>
      </c>
      <c r="W10" s="15" t="inlineStr">
        <is>
          <t>2026-10-23</t>
        </is>
      </c>
      <c r="X10" s="15" t="inlineStr">
        <is>
          <t>dev-2; retries=0. Full desktop: 1 passed, 0 failed, 0 skipped. See Dev-2 Audit 2026-10-23.</t>
        </is>
      </c>
      <c r="Y10" s="25" t="inlineStr">
        <is>
          <t>MS-V2-006</t>
        </is>
      </c>
    </row>
    <row r="11" ht="150" customHeight="1">
      <c r="A11" s="12" t="inlineStr">
        <is>
          <t>MS-DSC-002</t>
        </is>
      </c>
      <c r="B11" s="25" t="inlineStr">
        <is>
          <t>Storefront</t>
        </is>
      </c>
      <c r="C11" s="25" t="inlineStr">
        <is>
          <t>2. Discovery &amp; content</t>
        </is>
      </c>
      <c r="D11" s="25" t="inlineStr">
        <is>
          <t>Category discovery</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MS-DSC-002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Pass</t>
        </is>
      </c>
      <c r="U11" s="15" t="n"/>
      <c r="V11" s="15" t="inlineStr">
        <is>
          <t>Codex / Playwright</t>
        </is>
      </c>
      <c r="W11" s="15" t="inlineStr">
        <is>
          <t>2026-10-23</t>
        </is>
      </c>
      <c r="X11" s="15" t="inlineStr">
        <is>
          <t>dev-2; retries=0. Full desktop: 1 passed, 0 failed, 0 skipped. See Dev-2 Audit 2026-10-23.</t>
        </is>
      </c>
      <c r="Y11" s="25" t="inlineStr">
        <is>
          <t>MS-V2-007</t>
        </is>
      </c>
    </row>
    <row r="12" ht="150" customHeight="1">
      <c r="A12" s="12" t="inlineStr">
        <is>
          <t>MS-DSC-003</t>
        </is>
      </c>
      <c r="B12" s="25" t="inlineStr">
        <is>
          <t>Storefront</t>
        </is>
      </c>
      <c r="C12" s="25" t="inlineStr">
        <is>
          <t>2. Discovery &amp; content</t>
        </is>
      </c>
      <c r="D12" s="25" t="inlineStr">
        <is>
          <t>Category discovery</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MS-DSC-003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Pass</t>
        </is>
      </c>
      <c r="U12" s="15" t="n"/>
      <c r="V12" s="15" t="inlineStr">
        <is>
          <t>Codex / Playwright</t>
        </is>
      </c>
      <c r="W12" s="15" t="inlineStr">
        <is>
          <t>2026-10-23</t>
        </is>
      </c>
      <c r="X12" s="15" t="inlineStr">
        <is>
          <t>dev-2; retries=0. Full desktop: 1 passed, 0 failed, 0 skipped. See Dev-2 Audit 2026-10-23.</t>
        </is>
      </c>
      <c r="Y12" s="25" t="inlineStr">
        <is>
          <t>MS-V2-008</t>
        </is>
      </c>
    </row>
    <row r="13" ht="150" customHeight="1">
      <c r="A13" s="12" t="inlineStr">
        <is>
          <t>MS-DSC-004</t>
        </is>
      </c>
      <c r="B13" s="25" t="inlineStr">
        <is>
          <t>Storefront</t>
        </is>
      </c>
      <c r="C13" s="25" t="inlineStr">
        <is>
          <t>2. Discovery &amp; content</t>
        </is>
      </c>
      <c r="D13" s="25" t="inlineStr">
        <is>
          <t>FAQ</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FAQ.
2. Select Order after hydration.
3. Expand the exact guest-order question.
4. Verify its answer.
5. Collapse it.</t>
        </is>
      </c>
      <c r="K13" s="25" t="inlineStr">
        <is>
          <t>The answer panel becomes visible and contains the guest-order explanation; a second click hides it.</t>
        </is>
      </c>
      <c r="L13" s="13" t="inlineStr">
        <is>
          <t>Automated</t>
        </is>
      </c>
      <c r="M13" s="25" t="inlineStr">
        <is>
          <t>Production-safe</t>
        </is>
      </c>
      <c r="N13" s="25" t="inlineStr">
        <is>
          <t>-</t>
        </is>
      </c>
      <c r="O13" s="25" t="inlineStr">
        <is>
          <t>tests/e2e/storefront/discovery/faq.spec.ts</t>
        </is>
      </c>
      <c r="P13" s="25" t="inlineStr">
        <is>
          <t>MS-DSC-004 FAQ topics and accordions are usable</t>
        </is>
      </c>
      <c r="Q13" s="25" t="inlineStr">
        <is>
          <t>@smoke @regression @production</t>
        </is>
      </c>
      <c r="R13" s="13" t="n">
        <v>1</v>
      </c>
      <c r="S13" s="25" t="inlineStr">
        <is>
          <t>Assertions strengthened 2026-10-23 after production exploration; checks visible answer/filter behavior instead of matching text already present on the page.</t>
        </is>
      </c>
      <c r="T13" s="14" t="inlineStr">
        <is>
          <t>Pass</t>
        </is>
      </c>
      <c r="U13" s="15" t="n"/>
      <c r="V13" s="15" t="inlineStr">
        <is>
          <t>Codex / Playwright</t>
        </is>
      </c>
      <c r="W13" s="15" t="inlineStr">
        <is>
          <t>2026-10-23</t>
        </is>
      </c>
      <c r="X13" s="15" t="inlineStr">
        <is>
          <t>dev-2; retries=0. Full desktop: 1 passed, 0 failed, 0 skipped. See Dev-2 Audit 2026-10-23.</t>
        </is>
      </c>
      <c r="Y13" s="25" t="inlineStr">
        <is>
          <t>MS-V2-015</t>
        </is>
      </c>
    </row>
    <row r="14" ht="150" customHeight="1">
      <c r="A14" s="12" t="inlineStr">
        <is>
          <t>MS-DSC-005</t>
        </is>
      </c>
      <c r="B14" s="25" t="inlineStr">
        <is>
          <t>Storefront</t>
        </is>
      </c>
      <c r="C14" s="25" t="inlineStr">
        <is>
          <t>2. Discovery &amp; content</t>
        </is>
      </c>
      <c r="D14" s="25" t="inlineStr">
        <is>
          <t>FAQ</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FAQ.
2. Search for coupon.
3. Verify a matching question is visible and the membership question is hidden.
4. Clear search.</t>
        </is>
      </c>
      <c r="K14" s="25" t="inlineStr">
        <is>
          <t>Search displays matching questions and hides unrelated membership questions; clearing restores the default list.</t>
        </is>
      </c>
      <c r="L14" s="13" t="inlineStr">
        <is>
          <t>Automated</t>
        </is>
      </c>
      <c r="M14" s="25" t="inlineStr">
        <is>
          <t>Production-safe</t>
        </is>
      </c>
      <c r="N14" s="25" t="inlineStr">
        <is>
          <t>-</t>
        </is>
      </c>
      <c r="O14" s="25" t="inlineStr">
        <is>
          <t>tests/e2e/storefront/discovery/faq.spec.ts</t>
        </is>
      </c>
      <c r="P14" s="25" t="inlineStr">
        <is>
          <t>MS-DSC-005 FAQ search filters and resets content</t>
        </is>
      </c>
      <c r="Q14" s="25" t="inlineStr">
        <is>
          <t>@smoke @regression @production</t>
        </is>
      </c>
      <c r="R14" s="13" t="n">
        <v>1</v>
      </c>
      <c r="S14" s="25" t="inlineStr">
        <is>
          <t>Assertions strengthened 2026-10-23 after production exploration; checks visible answer/filter behavior instead of matching text already present on the page.</t>
        </is>
      </c>
      <c r="T14" s="14" t="inlineStr">
        <is>
          <t>Pass</t>
        </is>
      </c>
      <c r="U14" s="15" t="n"/>
      <c r="V14" s="15" t="inlineStr">
        <is>
          <t>Codex / Playwright</t>
        </is>
      </c>
      <c r="W14" s="15" t="inlineStr">
        <is>
          <t>2026-10-23</t>
        </is>
      </c>
      <c r="X14" s="15" t="inlineStr">
        <is>
          <t>dev-2; retries=0. Full desktop: 1 passed, 0 failed, 0 skipped. See Dev-2 Audit 2026-10-23.</t>
        </is>
      </c>
      <c r="Y14" s="25" t="inlineStr">
        <is>
          <t>MS-V2-016</t>
        </is>
      </c>
    </row>
    <row r="15" ht="150" customHeight="1">
      <c r="A15" s="12" t="inlineStr">
        <is>
          <t>MS-DSC-006</t>
        </is>
      </c>
      <c r="B15" s="25" t="inlineStr">
        <is>
          <t>Storefront</t>
        </is>
      </c>
      <c r="C15" s="25" t="inlineStr">
        <is>
          <t>2. Discovery &amp; content</t>
        </is>
      </c>
      <c r="D15" s="25" t="inlineStr">
        <is>
          <t>About page</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MS-DSC-006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Pass</t>
        </is>
      </c>
      <c r="U15" s="15" t="n"/>
      <c r="V15" s="15" t="inlineStr">
        <is>
          <t>Codex / Playwright</t>
        </is>
      </c>
      <c r="W15" s="15" t="inlineStr">
        <is>
          <t>2026-10-23</t>
        </is>
      </c>
      <c r="X15" s="15" t="inlineStr">
        <is>
          <t>dev-2; retries=0. Full desktop: 1 passed, 0 failed, 0 skipped. See Dev-2 Audit 2026-10-23.</t>
        </is>
      </c>
      <c r="Y15" s="25" t="inlineStr">
        <is>
          <t>MS-V2-039</t>
        </is>
      </c>
    </row>
    <row r="16" ht="150" customHeight="1">
      <c r="A16" s="12" t="inlineStr">
        <is>
          <t>MS-DSC-007</t>
        </is>
      </c>
      <c r="B16" s="25" t="inlineStr">
        <is>
          <t>Storefront</t>
        </is>
      </c>
      <c r="C16" s="25" t="inlineStr">
        <is>
          <t>2. Discovery &amp; content</t>
        </is>
      </c>
      <c r="D16" s="25" t="inlineStr">
        <is>
          <t>Catalog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MS-DSC-007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Pass</t>
        </is>
      </c>
      <c r="U16" s="15" t="n"/>
      <c r="V16" s="15" t="inlineStr">
        <is>
          <t>Codex / Playwright</t>
        </is>
      </c>
      <c r="W16" s="15" t="inlineStr">
        <is>
          <t>2026-10-23</t>
        </is>
      </c>
      <c r="X16" s="15" t="inlineStr">
        <is>
          <t>dev-2; retries=0. Full desktop: 23 passed, 0 failed, 0 skipped. See Dev-2 Audit 2026-10-23.</t>
        </is>
      </c>
      <c r="Y16" s="25" t="inlineStr">
        <is>
          <t>MS-V2-040</t>
        </is>
      </c>
    </row>
    <row r="17" ht="150" customHeight="1">
      <c r="A17" s="12" t="inlineStr">
        <is>
          <t>MS-CFG-001</t>
        </is>
      </c>
      <c r="B17" s="25" t="inlineStr">
        <is>
          <t>Storefront</t>
        </is>
      </c>
      <c r="C17" s="25" t="inlineStr">
        <is>
          <t>3. Product configuration</t>
        </is>
      </c>
      <c r="D17" s="25" t="inlineStr">
        <is>
          <t>Product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tests/e2e/storefront/configuration/product-config.spec.ts</t>
        </is>
      </c>
      <c r="P17" s="25" t="inlineStr">
        <is>
          <t>MS-CFG-001 die-cut sticker supports size and quantity selection</t>
        </is>
      </c>
      <c r="Q17" s="25" t="inlineStr">
        <is>
          <t>@regression @production @purchasing @critical</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Fail</t>
        </is>
      </c>
      <c r="U17" s="15" t="inlineStr">
        <is>
          <t>MUS-QA-023</t>
        </is>
      </c>
      <c r="V17" s="15" t="inlineStr">
        <is>
          <t>Codex / Playwright</t>
        </is>
      </c>
      <c r="W17" s="15" t="inlineStr">
        <is>
          <t>2026-10-23</t>
        </is>
      </c>
      <c r="X17" s="15" t="inlineStr">
        <is>
          <t>dev-2; retries=0. Full desktop: 1 passed, 0 failed, 0 skipped; Cross-browser critical: 1 passed, 1 failed, 0 skipped. See Dev-2 Audit 2026-10-23.</t>
        </is>
      </c>
      <c r="Y17" s="25" t="inlineStr">
        <is>
          <t>MS-V2-009</t>
        </is>
      </c>
    </row>
    <row r="18" ht="150" customHeight="1">
      <c r="A18" s="12" t="inlineStr">
        <is>
          <t>MS-CFG-002</t>
        </is>
      </c>
      <c r="B18" s="25" t="inlineStr">
        <is>
          <t>Storefront</t>
        </is>
      </c>
      <c r="C18" s="25" t="inlineStr">
        <is>
          <t>3. Product configuration</t>
        </is>
      </c>
      <c r="D18" s="25" t="inlineStr">
        <is>
          <t>Product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tests/e2e/storefront/configuration/product-config.spec.ts</t>
        </is>
      </c>
      <c r="P18" s="25" t="inlineStr">
        <is>
          <t>MS-CFG-002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MS-CFG-001.</t>
        </is>
      </c>
      <c r="T18" s="14" t="inlineStr">
        <is>
          <t>Pass</t>
        </is>
      </c>
      <c r="U18" s="15" t="n"/>
      <c r="V18" s="15" t="inlineStr">
        <is>
          <t>Codex / Playwright</t>
        </is>
      </c>
      <c r="W18" s="15" t="inlineStr">
        <is>
          <t>2026-10-23</t>
        </is>
      </c>
      <c r="X18" s="15" t="inlineStr">
        <is>
          <t>dev-2; retries=0. Full desktop: 1 passed, 0 failed, 0 skipped. See Dev-2 Audit 2026-10-23.</t>
        </is>
      </c>
      <c r="Y18" s="25" t="inlineStr">
        <is>
          <t>MS-V2-010</t>
        </is>
      </c>
    </row>
    <row r="19" ht="150" customHeight="1">
      <c r="A19" s="12" t="inlineStr">
        <is>
          <t>MS-CFG-003</t>
        </is>
      </c>
      <c r="B19" s="25" t="inlineStr">
        <is>
          <t>Storefront</t>
        </is>
      </c>
      <c r="C19" s="25" t="inlineStr">
        <is>
          <t>3. Product configuration</t>
        </is>
      </c>
      <c r="D19" s="25" t="inlineStr">
        <is>
          <t>Product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tests/e2e/storefront/configuration/product-config.spec.ts</t>
        </is>
      </c>
      <c r="P19" s="25" t="inlineStr">
        <is>
          <t>MS-CFG-003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Pass</t>
        </is>
      </c>
      <c r="U19" s="15" t="n"/>
      <c r="V19" s="15" t="inlineStr">
        <is>
          <t>Codex / Playwright</t>
        </is>
      </c>
      <c r="W19" s="15" t="inlineStr">
        <is>
          <t>2026-10-23</t>
        </is>
      </c>
      <c r="X19" s="15" t="inlineStr">
        <is>
          <t>dev-2; retries=0. Full desktop: 1 passed, 0 failed, 0 skipped. See Dev-2 Audit 2026-10-23.</t>
        </is>
      </c>
      <c r="Y19" s="25" t="inlineStr">
        <is>
          <t>MS-V2-011</t>
        </is>
      </c>
    </row>
    <row r="20" ht="150" customHeight="1">
      <c r="A20" s="12" t="inlineStr">
        <is>
          <t>MS-CFG-004</t>
        </is>
      </c>
      <c r="B20" s="25" t="inlineStr">
        <is>
          <t>Storefront</t>
        </is>
      </c>
      <c r="C20" s="25" t="inlineStr">
        <is>
          <t>3. Product configuration</t>
        </is>
      </c>
      <c r="D20" s="25" t="inlineStr">
        <is>
          <t>Product config</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tests/e2e/storefront/configuration/product-config.spec.ts</t>
        </is>
      </c>
      <c r="P20" s="25" t="inlineStr">
        <is>
          <t>MS-CFG-004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Pass</t>
        </is>
      </c>
      <c r="U20" s="15" t="n"/>
      <c r="V20" s="15" t="inlineStr">
        <is>
          <t>Codex / Playwright</t>
        </is>
      </c>
      <c r="W20" s="15" t="inlineStr">
        <is>
          <t>2026-10-23</t>
        </is>
      </c>
      <c r="X20" s="15" t="inlineStr">
        <is>
          <t>dev-2; retries=0. Full desktop: 1 passed, 0 failed, 0 skipped. See Dev-2 Audit 2026-10-23.</t>
        </is>
      </c>
      <c r="Y20" s="25" t="inlineStr">
        <is>
          <t>MS-V2-012</t>
        </is>
      </c>
    </row>
    <row r="21" ht="150" customHeight="1">
      <c r="A21" s="12" t="inlineStr">
        <is>
          <t>MS-CFG-005</t>
        </is>
      </c>
      <c r="B21" s="25" t="inlineStr">
        <is>
          <t>Storefront</t>
        </is>
      </c>
      <c r="C21" s="25" t="inlineStr">
        <is>
          <t>3. Product configuration</t>
        </is>
      </c>
      <c r="D21" s="25" t="inlineStr">
        <is>
          <t>Product config</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tests/e2e/storefront/configuration/product-config.spec.ts</t>
        </is>
      </c>
      <c r="P21" s="25" t="inlineStr">
        <is>
          <t>MS-CFG-005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Pass</t>
        </is>
      </c>
      <c r="U21" s="15" t="n"/>
      <c r="V21" s="15" t="inlineStr">
        <is>
          <t>Codex / Playwright</t>
        </is>
      </c>
      <c r="W21" s="15" t="inlineStr">
        <is>
          <t>2026-10-23</t>
        </is>
      </c>
      <c r="X21" s="15" t="inlineStr">
        <is>
          <t>dev-2; retries=0. Full desktop: 1 passed, 0 failed, 0 skipped. See Dev-2 Audit 2026-10-23.</t>
        </is>
      </c>
      <c r="Y21" s="25" t="inlineStr">
        <is>
          <t>MS-V2-013</t>
        </is>
      </c>
    </row>
    <row r="22" ht="150" customHeight="1">
      <c r="A22" s="12" t="inlineStr">
        <is>
          <t>MS-CFG-006</t>
        </is>
      </c>
      <c r="B22" s="25" t="inlineStr">
        <is>
          <t>Storefront</t>
        </is>
      </c>
      <c r="C22" s="25" t="inlineStr">
        <is>
          <t>3. Product configuration</t>
        </is>
      </c>
      <c r="D22" s="25" t="inlineStr">
        <is>
          <t>Product config</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tests/e2e/storefront/configuration/product-config.spec.ts</t>
        </is>
      </c>
      <c r="P22" s="25" t="inlineStr">
        <is>
          <t>MS-CFG-006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Pass</t>
        </is>
      </c>
      <c r="U22" s="15" t="n"/>
      <c r="V22" s="15" t="inlineStr">
        <is>
          <t>Codex / Playwright</t>
        </is>
      </c>
      <c r="W22" s="15" t="inlineStr">
        <is>
          <t>2026-10-23</t>
        </is>
      </c>
      <c r="X22" s="15" t="inlineStr">
        <is>
          <t>dev-2; retries=0. Full desktop: 1 passed, 0 failed, 0 skipped. See Dev-2 Audit 2026-10-23.</t>
        </is>
      </c>
      <c r="Y22" s="25" t="inlineStr">
        <is>
          <t>MS-V2-014</t>
        </is>
      </c>
    </row>
    <row r="23" ht="150" customHeight="1">
      <c r="A23" s="12" t="inlineStr">
        <is>
          <t>MS-CFG-007</t>
        </is>
      </c>
      <c r="B23" s="25" t="inlineStr">
        <is>
          <t>Storefront</t>
        </is>
      </c>
      <c r="C23" s="25" t="inlineStr">
        <is>
          <t>3. Product configuration</t>
        </is>
      </c>
      <c r="D23" s="25" t="inlineStr">
        <is>
          <t>Sheet sticker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tests/e2e/storefront/configuration/sheet-sticker-configurator.spec.ts</t>
        </is>
      </c>
      <c r="P23" s="25" t="inlineStr">
        <is>
          <t>MS-CFG-007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Pass</t>
        </is>
      </c>
      <c r="U23" s="15" t="n"/>
      <c r="V23" s="15" t="inlineStr">
        <is>
          <t>Codex / Playwright</t>
        </is>
      </c>
      <c r="W23" s="15" t="inlineStr">
        <is>
          <t>2026-10-23</t>
        </is>
      </c>
      <c r="X23" s="15" t="inlineStr">
        <is>
          <t>dev-2; retries=0. Full desktop: 5 passed, 0 failed, 0 skipped. See Dev-2 Audit 2026-10-23.</t>
        </is>
      </c>
      <c r="Y23" s="25" t="inlineStr">
        <is>
          <t>MS-V2-050</t>
        </is>
      </c>
    </row>
    <row r="24" ht="150" customHeight="1">
      <c r="A24" s="12" t="inlineStr">
        <is>
          <t>MS-CFG-008</t>
        </is>
      </c>
      <c r="B24" s="25" t="inlineStr">
        <is>
          <t>Storefront</t>
        </is>
      </c>
      <c r="C24" s="25" t="inlineStr">
        <is>
          <t>3. Product configuration</t>
        </is>
      </c>
      <c r="D24" s="25" t="inlineStr">
        <is>
          <t>Sheet sticker configurator</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tests/e2e/storefront/configuration/sheet-sticker-configurator.spec.ts</t>
        </is>
      </c>
      <c r="P24" s="25" t="inlineStr">
        <is>
          <t>MS-CFG-008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(MS-CFG-016 withdrawn).</t>
        </is>
      </c>
      <c r="T24" s="14" t="inlineStr">
        <is>
          <t>Pass</t>
        </is>
      </c>
      <c r="U24" s="15" t="n"/>
      <c r="V24" s="15" t="inlineStr">
        <is>
          <t>Codex / Playwright</t>
        </is>
      </c>
      <c r="W24" s="15" t="inlineStr">
        <is>
          <t>2026-10-23</t>
        </is>
      </c>
      <c r="X24" s="15" t="inlineStr">
        <is>
          <t>dev-2; retries=0. Full desktop: 1 passed, 0 failed, 0 skipped. See Dev-2 Audit 2026-10-23.</t>
        </is>
      </c>
      <c r="Y24" s="25" t="inlineStr">
        <is>
          <t>MS-V2-051</t>
        </is>
      </c>
    </row>
    <row r="25" ht="150" customHeight="1">
      <c r="A25" s="12" t="inlineStr">
        <is>
          <t>MS-CFG-009</t>
        </is>
      </c>
      <c r="B25" s="25" t="inlineStr">
        <is>
          <t>Storefront</t>
        </is>
      </c>
      <c r="C25" s="25" t="inlineStr">
        <is>
          <t>3. Product configuration</t>
        </is>
      </c>
      <c r="D25" s="25" t="inlineStr">
        <is>
          <t>Sheet sticker configurator</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tests/e2e/storefront/configuration/sheet-sticker-configurator.spec.ts</t>
        </is>
      </c>
      <c r="P25" s="25" t="inlineStr">
        <is>
          <t>MS-CFG-009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(MS-CFG-021, MS-CFG-022) still show no badge at 10개 and are unchanged.</t>
        </is>
      </c>
      <c r="T25" s="14" t="inlineStr">
        <is>
          <t>Pass</t>
        </is>
      </c>
      <c r="U25" s="15" t="n"/>
      <c r="V25" s="15" t="inlineStr">
        <is>
          <t>Codex / Playwright</t>
        </is>
      </c>
      <c r="W25" s="15" t="inlineStr">
        <is>
          <t>2026-10-23</t>
        </is>
      </c>
      <c r="X25" s="15" t="inlineStr">
        <is>
          <t>dev-2; retries=0. Full desktop: 1 passed, 0 failed, 0 skipped. See Dev-2 Audit 2026-10-23.</t>
        </is>
      </c>
      <c r="Y25" s="25" t="inlineStr">
        <is>
          <t>MS-V2-052</t>
        </is>
      </c>
    </row>
    <row r="26" ht="150" customHeight="1">
      <c r="A26" s="12" t="inlineStr">
        <is>
          <t>MS-CFG-010</t>
        </is>
      </c>
      <c r="B26" s="25" t="inlineStr">
        <is>
          <t>Storefront</t>
        </is>
      </c>
      <c r="C26" s="25" t="inlineStr">
        <is>
          <t>3. Product configuration</t>
        </is>
      </c>
      <c r="D26" s="25" t="inlineStr">
        <is>
          <t>Sheet sticker configurator</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MS-CFG-007);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tests/e2e/storefront/configuration/sheet-sticker-configurator.spec.ts</t>
        </is>
      </c>
      <c r="P26" s="25" t="inlineStr">
        <is>
          <t>MS-CFG-010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Pass</t>
        </is>
      </c>
      <c r="U26" s="15" t="n"/>
      <c r="V26" s="15" t="inlineStr">
        <is>
          <t>Codex / Playwright</t>
        </is>
      </c>
      <c r="W26" s="15" t="inlineStr">
        <is>
          <t>2026-10-23</t>
        </is>
      </c>
      <c r="X26" s="15" t="inlineStr">
        <is>
          <t>dev-2; retries=0. Full desktop: 1 passed, 0 failed, 0 skipped. See Dev-2 Audit 2026-10-23.</t>
        </is>
      </c>
      <c r="Y26" s="25" t="inlineStr">
        <is>
          <t>MS-V2-053</t>
        </is>
      </c>
    </row>
    <row r="27" ht="150" customHeight="1">
      <c r="A27" s="12" t="inlineStr">
        <is>
          <t>MS-CFG-011</t>
        </is>
      </c>
      <c r="B27" s="25" t="inlineStr">
        <is>
          <t>Storefront</t>
        </is>
      </c>
      <c r="C27" s="25" t="inlineStr">
        <is>
          <t>3. Product configuration</t>
        </is>
      </c>
      <c r="D27" s="25" t="inlineStr">
        <is>
          <t>Sheet sticker configurator</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tests/e2e/storefront/configuration/sheet-sticker-configurator.spec.ts</t>
        </is>
      </c>
      <c r="P27" s="25" t="inlineStr">
        <is>
          <t>MS-CFG-011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Pass</t>
        </is>
      </c>
      <c r="U27" s="15" t="n"/>
      <c r="V27" s="15" t="inlineStr">
        <is>
          <t>Codex / Playwright</t>
        </is>
      </c>
      <c r="W27" s="15" t="inlineStr">
        <is>
          <t>2026-10-23</t>
        </is>
      </c>
      <c r="X27" s="15" t="inlineStr">
        <is>
          <t>dev-2; retries=0. Full desktop: 1 passed, 0 failed, 0 skipped. See Dev-2 Audit 2026-10-23.</t>
        </is>
      </c>
      <c r="Y27" s="25" t="inlineStr">
        <is>
          <t>MS-V2-054</t>
        </is>
      </c>
    </row>
    <row r="28" ht="150" customHeight="1">
      <c r="A28" s="12" t="inlineStr">
        <is>
          <t>MS-CFG-012</t>
        </is>
      </c>
      <c r="B28" s="25" t="inlineStr">
        <is>
          <t>Storefront</t>
        </is>
      </c>
      <c r="C28" s="25" t="inlineStr">
        <is>
          <t>3. Product configuration</t>
        </is>
      </c>
      <c r="D28" s="25" t="inlineStr">
        <is>
          <t>Sheet sticker configurator</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tests/e2e/storefront/configuration/sheet-sticker-configurator.spec.ts</t>
        </is>
      </c>
      <c r="P28" s="25" t="inlineStr">
        <is>
          <t>MS-CFG-012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Pass</t>
        </is>
      </c>
      <c r="U28" s="15" t="n"/>
      <c r="V28" s="15" t="inlineStr">
        <is>
          <t>Codex / Playwright</t>
        </is>
      </c>
      <c r="W28" s="15" t="inlineStr">
        <is>
          <t>2026-10-23</t>
        </is>
      </c>
      <c r="X28" s="15" t="inlineStr">
        <is>
          <t>dev-2; retries=0. Full desktop: 1 passed, 0 failed, 0 skipped. See Dev-2 Audit 2026-10-23.</t>
        </is>
      </c>
      <c r="Y28" s="25" t="inlineStr">
        <is>
          <t>MS-V2-055</t>
        </is>
      </c>
    </row>
    <row r="29" ht="150" customHeight="1">
      <c r="A29" s="12" t="inlineStr">
        <is>
          <t>MS-CFG-013</t>
        </is>
      </c>
      <c r="B29" s="25" t="inlineStr">
        <is>
          <t>Storefront</t>
        </is>
      </c>
      <c r="C29" s="25" t="inlineStr">
        <is>
          <t>3. Product configuration</t>
        </is>
      </c>
      <c r="D29" s="25" t="inlineStr">
        <is>
          <t>Sheet sticker configurator</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tests/e2e/storefront/configuration/sheet-sticker-configurator.spec.ts</t>
        </is>
      </c>
      <c r="P29" s="25" t="inlineStr">
        <is>
          <t>MS-CFG-013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(MS-CFG-014).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Pass</t>
        </is>
      </c>
      <c r="U29" s="15" t="n"/>
      <c r="V29" s="15" t="inlineStr">
        <is>
          <t>Codex / Playwright</t>
        </is>
      </c>
      <c r="W29" s="15" t="inlineStr">
        <is>
          <t>2026-10-23</t>
        </is>
      </c>
      <c r="X29" s="15" t="inlineStr">
        <is>
          <t>dev-2; retries=0. Full desktop: 1 passed, 0 failed, 0 skipped. See Dev-2 Audit 2026-10-23.</t>
        </is>
      </c>
      <c r="Y29" s="25" t="inlineStr">
        <is>
          <t>MS-V2-056</t>
        </is>
      </c>
    </row>
    <row r="30" ht="150" customHeight="1">
      <c r="A30" s="12" t="inlineStr">
        <is>
          <t>MS-CFG-014</t>
        </is>
      </c>
      <c r="B30" s="25" t="inlineStr">
        <is>
          <t>Storefront</t>
        </is>
      </c>
      <c r="C30" s="25" t="inlineStr">
        <is>
          <t>3. Product configuration</t>
        </is>
      </c>
      <c r="D30" s="25" t="inlineStr">
        <is>
          <t>Sheet sticker configurator</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tests/e2e/storefront/configuration/sheet-sticker-configurator.spec.ts</t>
        </is>
      </c>
      <c r="P30" s="25" t="inlineStr">
        <is>
          <t>MS-CFG-014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Pass</t>
        </is>
      </c>
      <c r="U30" s="15" t="n"/>
      <c r="V30" s="15" t="inlineStr">
        <is>
          <t>Codex / Playwright</t>
        </is>
      </c>
      <c r="W30" s="15" t="inlineStr">
        <is>
          <t>2026-10-23</t>
        </is>
      </c>
      <c r="X30" s="15" t="inlineStr">
        <is>
          <t>dev-2; retries=0. Full desktop: 1 passed, 0 failed, 0 skipped. See Dev-2 Audit 2026-10-23.</t>
        </is>
      </c>
      <c r="Y30" s="25" t="inlineStr">
        <is>
          <t>MS-V2-057</t>
        </is>
      </c>
    </row>
    <row r="31" ht="150" customHeight="1">
      <c r="A31" s="12" t="inlineStr">
        <is>
          <t>MS-CFG-015</t>
        </is>
      </c>
      <c r="B31" s="25" t="inlineStr">
        <is>
          <t>Storefront</t>
        </is>
      </c>
      <c r="C31" s="25" t="inlineStr">
        <is>
          <t>3. Product configuration</t>
        </is>
      </c>
      <c r="D31" s="25" t="inlineStr">
        <is>
          <t>Sheet sticker configurator</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tests/e2e/storefront/configuration/sheet-sticker-configurator.spec.ts</t>
        </is>
      </c>
      <c r="P31" s="25" t="inlineStr">
        <is>
          <t>MS-CFG-015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Blocked</t>
        </is>
      </c>
      <c r="U31" s="15" t="n"/>
      <c r="V31" s="15" t="inlineStr">
        <is>
          <t>Codex / Playwright</t>
        </is>
      </c>
      <c r="W31" s="15" t="inlineStr">
        <is>
          <t>2026-10-23</t>
        </is>
      </c>
      <c r="X31" s="15" t="inlineStr">
        <is>
          <t>dev-2; retries=0. Full desktop: 0 passed, 0 failed, 5 skipped. See Dev-2 Audit 2026-10-23.</t>
        </is>
      </c>
      <c r="Y31" s="25" t="inlineStr">
        <is>
          <t>MS-V2-058</t>
        </is>
      </c>
    </row>
    <row r="32" ht="150" customHeight="1">
      <c r="A32" s="16" t="inlineStr">
        <is>
          <t>MS-CFG-016</t>
        </is>
      </c>
      <c r="B32" s="25" t="inlineStr">
        <is>
          <t>Storefront</t>
        </is>
      </c>
      <c r="C32" s="25" t="inlineStr">
        <is>
          <t>3. Product configuration</t>
        </is>
      </c>
      <c r="D32" s="25" t="inlineStr">
        <is>
          <t>Sheet sticker configurator</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c r="Y32" s="25" t="inlineStr">
        <is>
          <t>MS-V2-059</t>
        </is>
      </c>
    </row>
    <row r="33" ht="150" customHeight="1">
      <c r="A33" s="12" t="inlineStr">
        <is>
          <t>MS-CFG-017</t>
        </is>
      </c>
      <c r="B33" s="25" t="inlineStr">
        <is>
          <t>Storefront</t>
        </is>
      </c>
      <c r="C33" s="25" t="inlineStr">
        <is>
          <t>3. Product configuration</t>
        </is>
      </c>
      <c r="D33" s="25" t="inlineStr">
        <is>
          <t>Sticker catalog configurator</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tests/e2e/storefront/configuration/sticker-catalog-configurator.spec.ts</t>
        </is>
      </c>
      <c r="P33" s="25" t="inlineStr">
        <is>
          <t>MS-CFG-017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Pass</t>
        </is>
      </c>
      <c r="U33" s="15" t="n"/>
      <c r="V33" s="15" t="inlineStr">
        <is>
          <t>Codex / Playwright</t>
        </is>
      </c>
      <c r="W33" s="15" t="inlineStr">
        <is>
          <t>2026-10-23</t>
        </is>
      </c>
      <c r="X33" s="15" t="inlineStr">
        <is>
          <t>dev-2; retries=0. Full desktop: 8 passed, 0 failed, 0 skipped. See Dev-2 Audit 2026-10-23.</t>
        </is>
      </c>
      <c r="Y33" s="25" t="inlineStr">
        <is>
          <t>MS-V2-060</t>
        </is>
      </c>
    </row>
    <row r="34" ht="150" customHeight="1">
      <c r="A34" s="12" t="inlineStr">
        <is>
          <t>MS-CFG-018</t>
        </is>
      </c>
      <c r="B34" s="25" t="inlineStr">
        <is>
          <t>Storefront</t>
        </is>
      </c>
      <c r="C34" s="25" t="inlineStr">
        <is>
          <t>3. Product configuration</t>
        </is>
      </c>
      <c r="D34" s="25" t="inlineStr">
        <is>
          <t>Sticker catalog configurator</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tests/e2e/storefront/configuration/sticker-catalog-configurator.spec.ts</t>
        </is>
      </c>
      <c r="P34" s="25" t="inlineStr">
        <is>
          <t>MS-CFG-018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Pass</t>
        </is>
      </c>
      <c r="U34" s="15" t="n"/>
      <c r="V34" s="15" t="inlineStr">
        <is>
          <t>Codex / Playwright</t>
        </is>
      </c>
      <c r="W34" s="15" t="inlineStr">
        <is>
          <t>2026-10-23</t>
        </is>
      </c>
      <c r="X34" s="15" t="inlineStr">
        <is>
          <t>dev-2; retries=0. Full desktop: 7 passed, 0 failed, 0 skipped. See Dev-2 Audit 2026-10-23.</t>
        </is>
      </c>
      <c r="Y34" s="25" t="inlineStr">
        <is>
          <t>MS-V2-061</t>
        </is>
      </c>
    </row>
    <row r="35" ht="150" customHeight="1">
      <c r="A35" s="12" t="inlineStr">
        <is>
          <t>MS-CFG-019</t>
        </is>
      </c>
      <c r="B35" s="25" t="inlineStr">
        <is>
          <t>Storefront</t>
        </is>
      </c>
      <c r="C35" s="25" t="inlineStr">
        <is>
          <t>3. Product configuration</t>
        </is>
      </c>
      <c r="D35" s="25" t="inlineStr">
        <is>
          <t>Sticker catalog configurator</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tests/e2e/storefront/configuration/sticker-catalog-configurator.spec.ts</t>
        </is>
      </c>
      <c r="P35" s="25" t="inlineStr">
        <is>
          <t>MS-CFG-019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Pass</t>
        </is>
      </c>
      <c r="U35" s="15" t="n"/>
      <c r="V35" s="15" t="inlineStr">
        <is>
          <t>Codex / Playwright</t>
        </is>
      </c>
      <c r="W35" s="15" t="inlineStr">
        <is>
          <t>2026-10-23</t>
        </is>
      </c>
      <c r="X35" s="15" t="inlineStr">
        <is>
          <t>dev-2; retries=0. Full desktop: 1 passed, 0 failed, 0 skipped. See Dev-2 Audit 2026-10-23.</t>
        </is>
      </c>
      <c r="Y35" s="25" t="inlineStr">
        <is>
          <t>MS-V2-062</t>
        </is>
      </c>
    </row>
    <row r="36" ht="150" customHeight="1">
      <c r="A36" s="12" t="inlineStr">
        <is>
          <t>MS-CFG-020</t>
        </is>
      </c>
      <c r="B36" s="25" t="inlineStr">
        <is>
          <t>Storefront</t>
        </is>
      </c>
      <c r="C36" s="25" t="inlineStr">
        <is>
          <t>3. Product configuration</t>
        </is>
      </c>
      <c r="D36" s="25" t="inlineStr">
        <is>
          <t>Sticker catalog configurator</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tests/e2e/storefront/configuration/sticker-catalog-configurator.spec.ts</t>
        </is>
      </c>
      <c r="P36" s="25" t="inlineStr">
        <is>
          <t>MS-CFG-020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Pass</t>
        </is>
      </c>
      <c r="U36" s="15" t="n"/>
      <c r="V36" s="15" t="inlineStr">
        <is>
          <t>Codex / Playwright</t>
        </is>
      </c>
      <c r="W36" s="15" t="inlineStr">
        <is>
          <t>2026-10-23</t>
        </is>
      </c>
      <c r="X36" s="15" t="inlineStr">
        <is>
          <t>dev-2; retries=0. Full desktop: 1 passed, 0 failed, 0 skipped. See Dev-2 Audit 2026-10-23.</t>
        </is>
      </c>
      <c r="Y36" s="25" t="inlineStr">
        <is>
          <t>MS-V2-063</t>
        </is>
      </c>
    </row>
    <row r="37" ht="150" customHeight="1">
      <c r="A37" s="12" t="inlineStr">
        <is>
          <t>MS-CFG-021</t>
        </is>
      </c>
      <c r="B37" s="25" t="inlineStr">
        <is>
          <t>Storefront</t>
        </is>
      </c>
      <c r="C37" s="25" t="inlineStr">
        <is>
          <t>3. Product configuration</t>
        </is>
      </c>
      <c r="D37" s="25" t="inlineStr">
        <is>
          <t>Sticker catalog configurator</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tests/e2e/storefront/configuration/sticker-catalog-configurator.spec.ts</t>
        </is>
      </c>
      <c r="P37" s="25" t="inlineStr">
        <is>
          <t>MS-CFG-021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Pass</t>
        </is>
      </c>
      <c r="U37" s="15" t="n"/>
      <c r="V37" s="15" t="inlineStr">
        <is>
          <t>Codex / Playwright</t>
        </is>
      </c>
      <c r="W37" s="15" t="inlineStr">
        <is>
          <t>2026-10-23</t>
        </is>
      </c>
      <c r="X37" s="15" t="inlineStr">
        <is>
          <t>dev-2; retries=0. Full desktop: 1 passed, 0 failed, 0 skipped. See Dev-2 Audit 2026-10-23.</t>
        </is>
      </c>
      <c r="Y37" s="25" t="inlineStr">
        <is>
          <t>MS-V2-064</t>
        </is>
      </c>
    </row>
    <row r="38" ht="150" customHeight="1">
      <c r="A38" s="12" t="inlineStr">
        <is>
          <t>MS-CFG-022</t>
        </is>
      </c>
      <c r="B38" s="25" t="inlineStr">
        <is>
          <t>Storefront</t>
        </is>
      </c>
      <c r="C38" s="25" t="inlineStr">
        <is>
          <t>3. Product configuration</t>
        </is>
      </c>
      <c r="D38" s="25" t="inlineStr">
        <is>
          <t>Sticker catalog configurator</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tests/e2e/storefront/configuration/sticker-catalog-configurator.spec.ts</t>
        </is>
      </c>
      <c r="P38" s="25" t="inlineStr">
        <is>
          <t>MS-CFG-022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Pass</t>
        </is>
      </c>
      <c r="U38" s="15" t="n"/>
      <c r="V38" s="15" t="inlineStr">
        <is>
          <t>Codex / Playwright</t>
        </is>
      </c>
      <c r="W38" s="15" t="inlineStr">
        <is>
          <t>2026-10-23</t>
        </is>
      </c>
      <c r="X38" s="15" t="inlineStr">
        <is>
          <t>dev-2; retries=0. Full desktop: 1 passed, 0 failed, 0 skipped. See Dev-2 Audit 2026-10-23.</t>
        </is>
      </c>
      <c r="Y38" s="25" t="inlineStr">
        <is>
          <t>MS-V2-065</t>
        </is>
      </c>
    </row>
    <row r="39" ht="150" customHeight="1">
      <c r="A39" s="12" t="inlineStr">
        <is>
          <t>MS-CFG-023</t>
        </is>
      </c>
      <c r="B39" s="25" t="inlineStr">
        <is>
          <t>Storefront</t>
        </is>
      </c>
      <c r="C39" s="25" t="inlineStr">
        <is>
          <t>3. Product configuration</t>
        </is>
      </c>
      <c r="D39" s="25" t="inlineStr">
        <is>
          <t>Sticker sheet and lettering</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(dev-1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tests/e2e/storefront/configuration/sticker-sheet-and-lettering.spec.ts</t>
        </is>
      </c>
      <c r="P39" s="25" t="inlineStr">
        <is>
          <t>MS-CFG-023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dev-1 added a required 스티커 개수 field ("시트에 배치할 스티커 개수를 입력해 주세요."); without it 다음 단계 answers 필수 입력 항목입니다. and disables itself. Production does not ask yet.</t>
        </is>
      </c>
      <c r="T39" s="14" t="inlineStr">
        <is>
          <t>Pass</t>
        </is>
      </c>
      <c r="U39" s="15" t="n"/>
      <c r="V39" s="15" t="inlineStr">
        <is>
          <t>Codex / Playwright</t>
        </is>
      </c>
      <c r="W39" s="15" t="inlineStr">
        <is>
          <t>2026-10-23</t>
        </is>
      </c>
      <c r="X39" s="15" t="inlineStr">
        <is>
          <t>dev-2; retries=0. Full desktop: 1 passed, 0 failed, 0 skipped. See Dev-2 Audit 2026-10-23.</t>
        </is>
      </c>
      <c r="Y39" s="25" t="inlineStr">
        <is>
          <t>MS-V2-070</t>
        </is>
      </c>
    </row>
    <row r="40" ht="150" customHeight="1">
      <c r="A40" s="12" t="inlineStr">
        <is>
          <t>MS-CFG-024</t>
        </is>
      </c>
      <c r="B40" s="25" t="inlineStr">
        <is>
          <t>Storefront</t>
        </is>
      </c>
      <c r="C40" s="25" t="inlineStr">
        <is>
          <t>3. Product configuration</t>
        </is>
      </c>
      <c r="D40" s="25" t="inlineStr">
        <is>
          <t>Sticker sheet and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tests/e2e/storefront/configuration/sticker-sheet-and-lettering.spec.ts</t>
        </is>
      </c>
      <c r="P40" s="25" t="inlineStr">
        <is>
          <t>MS-CFG-024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Pass</t>
        </is>
      </c>
      <c r="U40" s="15" t="n"/>
      <c r="V40" s="15" t="inlineStr">
        <is>
          <t>Codex / Playwright</t>
        </is>
      </c>
      <c r="W40" s="15" t="inlineStr">
        <is>
          <t>2026-10-23</t>
        </is>
      </c>
      <c r="X40" s="15" t="inlineStr">
        <is>
          <t>dev-2; retries=0. Full desktop: 1 passed, 0 failed, 0 skipped. See Dev-2 Audit 2026-10-23.</t>
        </is>
      </c>
      <c r="Y40" s="25" t="inlineStr">
        <is>
          <t>MS-V2-071</t>
        </is>
      </c>
    </row>
    <row r="41" ht="150" customHeight="1">
      <c r="A41" s="12" t="inlineStr">
        <is>
          <t>MS-CFG-025</t>
        </is>
      </c>
      <c r="B41" s="25" t="inlineStr">
        <is>
          <t>Storefront</t>
        </is>
      </c>
      <c r="C41" s="25" t="inlineStr">
        <is>
          <t>3. Product configuration</t>
        </is>
      </c>
      <c r="D41" s="25" t="inlineStr">
        <is>
          <t>Sticker sheet and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tests/e2e/storefront/configuration/sticker-sheet-and-lettering.spec.ts</t>
        </is>
      </c>
      <c r="P41" s="25" t="inlineStr">
        <is>
          <t>MS-CFG-025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Pass</t>
        </is>
      </c>
      <c r="U41" s="15" t="n"/>
      <c r="V41" s="15" t="inlineStr">
        <is>
          <t>Codex / Playwright</t>
        </is>
      </c>
      <c r="W41" s="15" t="inlineStr">
        <is>
          <t>2026-10-23</t>
        </is>
      </c>
      <c r="X41" s="15" t="inlineStr">
        <is>
          <t>dev-2; retries=0. Full desktop: 1 passed, 0 failed, 0 skipped. See Dev-2 Audit 2026-10-23.</t>
        </is>
      </c>
      <c r="Y41" s="25" t="inlineStr">
        <is>
          <t>MS-V2-072</t>
        </is>
      </c>
    </row>
    <row r="42" ht="150" customHeight="1">
      <c r="A42" s="12" t="inlineStr">
        <is>
          <t>MS-CFG-026</t>
        </is>
      </c>
      <c r="B42" s="25" t="inlineStr">
        <is>
          <t>Storefront</t>
        </is>
      </c>
      <c r="C42" s="25" t="inlineStr">
        <is>
          <t>3. Product configuration</t>
        </is>
      </c>
      <c r="D42" s="25" t="inlineStr">
        <is>
          <t>Design studio</t>
        </is>
      </c>
      <c r="E42" s="25" t="inlineStr">
        <is>
          <t>다음 단계 opens the 어떻게 주문하시겠어요? chooser, offering three ways to order: with a design file, in the web design studio (5% extra discount), or file later.</t>
        </is>
      </c>
      <c r="F42" s="13" t="inlineStr">
        <is>
          <t>High</t>
        </is>
      </c>
      <c r="G42" s="25" t="inlineStr">
        <is>
          <t>Functional</t>
        </is>
      </c>
      <c r="H42" s="25" t="inlineStr">
        <is>
          <t>Anonymous (guest) session; storefront reachable at the configured BASE_URL (E2E_ENVIRONMENT / .env). No login needed. Nothing is added to the cart.</t>
        </is>
      </c>
      <c r="I42" s="25" t="inlineStr">
        <is>
          <t>Product: 자유형 조각스티커 (/kr/stickers/die-cut-sticker); size 중형 75x75; quantity 100.</t>
        </is>
      </c>
      <c r="J42" s="25" t="inlineStr">
        <is>
          <t>1. Open /kr/stickers/die-cut-sticker.
2. Select 중형 75x75 and the 100개 tier.
3. Click 다음 단계.</t>
        </is>
      </c>
      <c r="K42"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42" s="13" t="inlineStr">
        <is>
          <t>Automated</t>
        </is>
      </c>
      <c r="M42" s="25" t="inlineStr">
        <is>
          <t>Production-safe</t>
        </is>
      </c>
      <c r="N42" s="25" t="inlineStr">
        <is>
          <t>-</t>
        </is>
      </c>
      <c r="O42" s="25" t="inlineStr">
        <is>
          <t>tests/e2e/storefront/configuration/design-studio.spec.ts</t>
        </is>
      </c>
      <c r="P42" s="25" t="inlineStr">
        <is>
          <t>MS-CFG-026 다음 단계 offers three ways to order: with a file, in the studio, or file later</t>
        </is>
      </c>
      <c r="Q42" s="25" t="inlineStr">
        <is>
          <t>@regression @production @purchasing</t>
        </is>
      </c>
      <c r="R42" s="13" t="n">
        <v>1</v>
      </c>
      <c r="S42" s="25" t="inlineStr">
        <is>
          <t>New in early October 2026; replaced the plain design-upload dialog (whose button was 장바구니 담기). Every control carries a product-category-upload-* test id.</t>
        </is>
      </c>
      <c r="T42" s="14" t="inlineStr">
        <is>
          <t>Pass</t>
        </is>
      </c>
      <c r="U42" s="15" t="n"/>
      <c r="V42" s="15" t="inlineStr">
        <is>
          <t>Codex / Playwright</t>
        </is>
      </c>
      <c r="W42" s="15" t="inlineStr">
        <is>
          <t>2026-10-23</t>
        </is>
      </c>
      <c r="X42" s="15" t="inlineStr">
        <is>
          <t>dev-2; retries=0. Full desktop: 1 passed, 0 failed, 0 skipped. See Dev-2 Audit 2026-10-23.</t>
        </is>
      </c>
      <c r="Y42" s="25" t="inlineStr">
        <is>
          <t>MS-V2-115</t>
        </is>
      </c>
    </row>
    <row r="43" ht="150" customHeight="1">
      <c r="A43" s="12" t="inlineStr">
        <is>
          <t>MS-CFG-027</t>
        </is>
      </c>
      <c r="B43" s="25" t="inlineStr">
        <is>
          <t>Storefront</t>
        </is>
      </c>
      <c r="C43" s="25" t="inlineStr">
        <is>
          <t>3. Product configuration</t>
        </is>
      </c>
      <c r="D43" s="25" t="inlineStr">
        <is>
          <t>Design studio</t>
        </is>
      </c>
      <c r="E43" s="25" t="inlineStr">
        <is>
          <t>The design studio keeps the configured size and quantity and prices every quantity tier 5% below the configurator, rounded to 10원.</t>
        </is>
      </c>
      <c r="F43" s="13" t="inlineStr">
        <is>
          <t>High</t>
        </is>
      </c>
      <c r="G43" s="25" t="inlineStr">
        <is>
          <t>Data</t>
        </is>
      </c>
      <c r="H43" s="25" t="inlineStr">
        <is>
          <t>Anonymous (guest) session; storefront reachable at the configured BASE_URL (E2E_ENVIRONMENT / .env). No login needed. Nothing is added to the cart. The studio loads a background-removal model from huggingface.co (allowStudioModelLoadNoise).</t>
        </is>
      </c>
      <c r="I43" s="25" t="inlineStr">
        <is>
          <t>Product: 자유형 조각스티커; size 중형 75x75; quantity 100; tiers compared: 10, 100, 1,000.</t>
        </is>
      </c>
      <c r="J43"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43"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43" s="13" t="inlineStr">
        <is>
          <t>Automated</t>
        </is>
      </c>
      <c r="M43" s="25" t="inlineStr">
        <is>
          <t>Production-safe</t>
        </is>
      </c>
      <c r="N43" s="25" t="inlineStr">
        <is>
          <t>-</t>
        </is>
      </c>
      <c r="O43" s="25" t="inlineStr">
        <is>
          <t>tests/e2e/storefront/configuration/design-studio.spec.ts</t>
        </is>
      </c>
      <c r="P43" s="25" t="inlineStr">
        <is>
          <t>MS-CFG-027 the studio keeps the configured size and quantity and prices every tier 5% below the configurator</t>
        </is>
      </c>
      <c r="Q43" s="25" t="inlineStr">
        <is>
          <t>@regression @production @purchasing</t>
        </is>
      </c>
      <c r="R43" s="13" t="n">
        <v>1</v>
      </c>
      <c r="S43" s="25" t="inlineStr">
        <is>
          <t>Rounding verified across all eight die-cut tiers on dev-1, 2026-10-14. Configurator prices are read only after the size re-quote lands (ProductV2Page.selectSize waits for it).</t>
        </is>
      </c>
      <c r="T43" s="14" t="inlineStr">
        <is>
          <t>Pass</t>
        </is>
      </c>
      <c r="U43" s="15" t="n"/>
      <c r="V43" s="15" t="inlineStr">
        <is>
          <t>Codex / Playwright</t>
        </is>
      </c>
      <c r="W43" s="15" t="inlineStr">
        <is>
          <t>2026-10-23</t>
        </is>
      </c>
      <c r="X43" s="15" t="inlineStr">
        <is>
          <t>dev-2; retries=0. Full desktop: 1 passed, 0 failed, 0 skipped. See Dev-2 Audit 2026-10-23.</t>
        </is>
      </c>
      <c r="Y43" s="25" t="inlineStr">
        <is>
          <t>MS-V2-116</t>
        </is>
      </c>
    </row>
    <row r="44" ht="150" customHeight="1">
      <c r="A44" s="12" t="inlineStr">
        <is>
          <t>MS-CFG-028</t>
        </is>
      </c>
      <c r="B44" s="25" t="inlineStr">
        <is>
          <t>Storefront</t>
        </is>
      </c>
      <c r="C44" s="25" t="inlineStr">
        <is>
          <t>3. Product configuration</t>
        </is>
      </c>
      <c r="D44" s="25" t="inlineStr">
        <is>
          <t>Design studio</t>
        </is>
      </c>
      <c r="E44" s="25" t="inlineStr">
        <is>
          <t>The design studio refuses a low-resolution design (장바구니 담기 stays disabled, with a resolution warning) and accepts a print-quality one.</t>
        </is>
      </c>
      <c r="F44" s="13" t="inlineStr">
        <is>
          <t>Medium</t>
        </is>
      </c>
      <c r="G44" s="25" t="inlineStr">
        <is>
          <t>Validation</t>
        </is>
      </c>
      <c r="H44" s="25" t="inlineStr">
        <is>
          <t>Anonymous (guest) session; storefront reachable at the configured BASE_URL (E2E_ENVIRONMENT / .env). No login needed. Nothing is added to the cart. Attaching a design stays in the browser: no request is sent until the order is confirmed.</t>
        </is>
      </c>
      <c r="I44" s="25" t="inlineStr">
        <is>
          <t>Low resolution: tests/fixtures/files/qa-proof.png (200x200, about 57dpi at 75mm). Print quality: tests/fixtures/files/studio-design.png (1,200x1,200 transparent PNG, about 400dpi at 75mm). Size 중형 75x75, 100개.</t>
        </is>
      </c>
      <c r="J44" s="25" t="inlineStr">
        <is>
          <t>1. Open the studio for 자유형 조각스티커 at 중형 75x75 / 100개 (as MS-CFG-027).
2. Check 장바구니 담기 before attaching anything.
3. Click 이미지 첨부하기 and choose qa-proof.png.
4. Open a fresh studio the same way and attach studio-design.png.</t>
        </is>
      </c>
      <c r="K44"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44" s="13" t="inlineStr">
        <is>
          <t>Automated</t>
        </is>
      </c>
      <c r="M44" s="25" t="inlineStr">
        <is>
          <t>Production-safe</t>
        </is>
      </c>
      <c r="N44" s="25" t="inlineStr">
        <is>
          <t>-</t>
        </is>
      </c>
      <c r="O44" s="25" t="inlineStr">
        <is>
          <t>tests/e2e/storefront/configuration/design-studio.spec.ts</t>
        </is>
      </c>
      <c r="P44" s="25" t="inlineStr">
        <is>
          <t>MS-CFG-028 the studio refuses a low-resolution design and accepts a print-quality one</t>
        </is>
      </c>
      <c r="Q44" s="25" t="inlineStr">
        <is>
          <t>@regression @production @purchasing</t>
        </is>
      </c>
      <c r="R44" s="13" t="n">
        <v>1</v>
      </c>
      <c r="S44" s="25" t="inlineStr">
        <is>
          <t>sample-design.png (the file-upload fixture) is a 67-byte 1x1 PNG the browser cannot decode: the studio rejects it with "이미지 파일을 열 수 없습니다", hence the separate studio fixture.</t>
        </is>
      </c>
      <c r="T44" s="14" t="inlineStr">
        <is>
          <t>Pass</t>
        </is>
      </c>
      <c r="U44" s="15" t="n"/>
      <c r="V44" s="15" t="inlineStr">
        <is>
          <t>Codex / Playwright</t>
        </is>
      </c>
      <c r="W44" s="15" t="inlineStr">
        <is>
          <t>2026-10-23</t>
        </is>
      </c>
      <c r="X44" s="15" t="inlineStr">
        <is>
          <t>dev-2; retries=0. Full desktop: 1 passed, 0 failed, 0 skipped. See Dev-2 Audit 2026-10-23.</t>
        </is>
      </c>
      <c r="Y44" s="25" t="inlineStr">
        <is>
          <t>MS-V2-117</t>
        </is>
      </c>
    </row>
    <row r="45" ht="150" customHeight="1">
      <c r="A45" s="12" t="inlineStr">
        <is>
          <t>MS-CFG-029</t>
        </is>
      </c>
      <c r="B45" s="25" t="inlineStr">
        <is>
          <t>Storefront</t>
        </is>
      </c>
      <c r="C45" s="25" t="inlineStr">
        <is>
          <t>3. Product configuration</t>
        </is>
      </c>
      <c r="D45" s="25" t="inlineStr">
        <is>
          <t>Design studio</t>
        </is>
      </c>
      <c r="E45" s="25" t="inlineStr">
        <is>
          <t>A design made in the studio goes through the 주문 준비 완료 confirmation into the cart at the studio price.</t>
        </is>
      </c>
      <c r="F45" s="13" t="inlineStr">
        <is>
          <t>High</t>
        </is>
      </c>
      <c r="G45" s="25" t="inlineStr">
        <is>
          <t>E2E</t>
        </is>
      </c>
      <c r="H45" s="25" t="inlineStr">
        <is>
          <t>Guest session on a dev server. Adds a line with an uploaded design to the guest cart.</t>
        </is>
      </c>
      <c r="I45" s="25" t="inlineStr">
        <is>
          <t>Product: 자유형 조각스티커, 중형 75x75, 100개; design studio-design.png.</t>
        </is>
      </c>
      <c r="J45" s="25" t="inlineStr">
        <is>
          <t>1. Open the studio with a print-quality design attached (MS-CFG-028 step 4).
2. Click 장바구니 담기.
3. In 주문 준비 완료, wait for the preview, look through the 미리보기 대상 scenes, choose 재단 방식 (통재단 / 도무송).
4. Tick 네, 확인했어요! and click 장바구니 담기.
5. Open /kr/cart.</t>
        </is>
      </c>
      <c r="K45"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45" s="13" t="inlineStr">
        <is>
          <t>Planned</t>
        </is>
      </c>
      <c r="M45" s="25" t="inlineStr">
        <is>
          <t>Dev only</t>
        </is>
      </c>
      <c r="N45" s="25" t="inlineStr">
        <is>
          <t>-</t>
        </is>
      </c>
      <c r="O45" s="25" t="inlineStr">
        <is>
          <t>-</t>
        </is>
      </c>
      <c r="P45" s="25" t="inlineStr">
        <is>
          <t>-</t>
        </is>
      </c>
      <c r="Q45" s="25" t="inlineStr">
        <is>
          <t>-</t>
        </is>
      </c>
      <c r="R45" s="13" t="n">
        <v>0</v>
      </c>
      <c r="S45" s="25" t="inlineStr">
        <is>
          <t>Not automated: the confirmation stays locked until its preview renders, which took about 40 s in a headed browser and never finished headless within 30 s (MUS-QA-015). Run by hand; the final add-to-cart was not confirmed during exploration.</t>
        </is>
      </c>
      <c r="T45" s="14" t="inlineStr">
        <is>
          <t>Not Run</t>
        </is>
      </c>
      <c r="U45" s="15" t="n"/>
      <c r="V45" s="15" t="n"/>
      <c r="W45" s="15" t="n"/>
      <c r="X45" s="15" t="n"/>
      <c r="Y45" s="25" t="inlineStr">
        <is>
          <t>MS-V2-118</t>
        </is>
      </c>
    </row>
    <row r="46" ht="150" customHeight="1">
      <c r="A46" s="12" t="inlineStr">
        <is>
          <t>MS-SHT-001</t>
        </is>
      </c>
      <c r="B46" s="25" t="inlineStr">
        <is>
          <t>Storefront</t>
        </is>
      </c>
      <c r="C46" s="25" t="inlineStr">
        <is>
          <t>4. Sheet sticker size rules</t>
        </is>
      </c>
      <c r="D46" s="25" t="inlineStr">
        <is>
          <t>Sheet sticker size rules</t>
        </is>
      </c>
      <c r="E46" s="25" t="inlineStr">
        <is>
          <t>On every shaped sheet sticker, a custom size that fits only one sticker per sheet (123x123 mm) is rejected: error shown, every tier at 0원, 다음 단계 disabled.</t>
        </is>
      </c>
      <c r="F46" s="13" t="inlineStr">
        <is>
          <t>Critical</t>
        </is>
      </c>
      <c r="G46" s="25" t="inlineStr">
        <is>
          <t>Negative</t>
        </is>
      </c>
      <c r="H46" s="25" t="inlineStr">
        <is>
          <t>Anonymous (guest) session; storefront reachable at the configured BASE_URL (E2E_ENVIRONMENT / .env). No login needed. The storefront logs a "Size error:" console warning here; this is expected.</t>
        </is>
      </c>
      <c r="I46"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6"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6"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6" s="13" t="inlineStr">
        <is>
          <t>Automated</t>
        </is>
      </c>
      <c r="M46" s="25" t="inlineStr">
        <is>
          <t>Production-safe</t>
        </is>
      </c>
      <c r="N46" s="25" t="inlineStr">
        <is>
          <t>-</t>
        </is>
      </c>
      <c r="O46" s="25" t="inlineStr">
        <is>
          <t>tests/e2e/storefront/sheet-size-rules/sheet-sticker-size-rules.spec.ts</t>
        </is>
      </c>
      <c r="P46" s="25" t="inlineStr">
        <is>
          <t>MS-SHT-001 원형 판스티커 rejects a custom size that fits only one sticker per sheet</t>
        </is>
      </c>
      <c r="Q46" s="25" t="inlineStr">
        <is>
          <t>@regression @production @purchasing</t>
        </is>
      </c>
      <c r="R46" s="13" t="n">
        <v>5</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6" s="14" t="inlineStr">
        <is>
          <t>Pass</t>
        </is>
      </c>
      <c r="U46" s="15" t="n"/>
      <c r="V46" s="15" t="inlineStr">
        <is>
          <t>Codex / Playwright</t>
        </is>
      </c>
      <c r="W46" s="15" t="inlineStr">
        <is>
          <t>2026-10-23</t>
        </is>
      </c>
      <c r="X46" s="15" t="inlineStr">
        <is>
          <t>dev-2; retries=0. Full desktop: 5 passed, 0 failed, 0 skipped. See Dev-2 Audit 2026-10-23.</t>
        </is>
      </c>
      <c r="Y46" s="25" t="inlineStr">
        <is>
          <t>MS-V2-073</t>
        </is>
      </c>
    </row>
    <row r="47" ht="150" customHeight="1">
      <c r="A47" s="12" t="inlineStr">
        <is>
          <t>MS-SHT-002</t>
        </is>
      </c>
      <c r="B47" s="25" t="inlineStr">
        <is>
          <t>Storefront</t>
        </is>
      </c>
      <c r="C47" s="25" t="inlineStr">
        <is>
          <t>4. Sheet sticker size rules</t>
        </is>
      </c>
      <c r="D47" s="25" t="inlineStr">
        <is>
          <t>Sheet sticker size rules</t>
        </is>
      </c>
      <c r="E47" s="25" t="inlineStr">
        <is>
          <t>On the circle sheet sticker, the 138x97 mm gate is exact: 138x97 can be ordered and 138x98 is rejected.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Largest allowed size 138 x 97 mm (1 column x 2 rows = 2 per sheet). Smallest blocked size 138 x 98 mm (1 x 1 = 1 per sheet).</t>
        </is>
      </c>
      <c r="J47"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7"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7" s="13" t="inlineStr">
        <is>
          <t>Automated</t>
        </is>
      </c>
      <c r="M47" s="25" t="inlineStr">
        <is>
          <t>Production-safe</t>
        </is>
      </c>
      <c r="N47" s="25" t="inlineStr">
        <is>
          <t>-</t>
        </is>
      </c>
      <c r="O47" s="25" t="inlineStr">
        <is>
          <t>tests/e2e/storefront/sheet-size-rules/sheet-sticker-size-rules.spec.ts</t>
        </is>
      </c>
      <c r="P47" s="25" t="inlineStr">
        <is>
          <t>MS-SHT-002 circle sheet sticker: the 138x97 gate is exact</t>
        </is>
      </c>
      <c r="Q47" s="25" t="inlineStr">
        <is>
          <t>@regression @production @purchasing</t>
        </is>
      </c>
      <c r="R47" s="13" t="n">
        <v>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7" s="14" t="inlineStr">
        <is>
          <t>Pass</t>
        </is>
      </c>
      <c r="U47" s="15" t="n"/>
      <c r="V47" s="15" t="inlineStr">
        <is>
          <t>Codex / Playwright</t>
        </is>
      </c>
      <c r="W47" s="15" t="inlineStr">
        <is>
          <t>2026-10-23</t>
        </is>
      </c>
      <c r="X47" s="15" t="inlineStr">
        <is>
          <t>dev-2; retries=0. Full desktop: 1 passed, 0 failed, 0 skipped. See Dev-2 Audit 2026-10-23.</t>
        </is>
      </c>
      <c r="Y47" s="25" t="inlineStr">
        <is>
          <t>MS-V2-074</t>
        </is>
      </c>
    </row>
    <row r="48" ht="150" customHeight="1">
      <c r="A48" s="12" t="inlineStr">
        <is>
          <t>MS-SHT-003</t>
        </is>
      </c>
      <c r="B48" s="25" t="inlineStr">
        <is>
          <t>Storefront</t>
        </is>
      </c>
      <c r="C48" s="25" t="inlineStr">
        <is>
          <t>4. Sheet sticker size rules</t>
        </is>
      </c>
      <c r="D48" s="25" t="inlineStr">
        <is>
          <t>Sheet sticker size rules</t>
        </is>
      </c>
      <c r="E48" s="25" t="inlineStr">
        <is>
          <t>Each shaped sheet sticker offers exactly its shape family's four size presets, and every preset fits at least two stickers per sheet and can be ordered.</t>
        </is>
      </c>
      <c r="F48" s="13" t="inlineStr">
        <is>
          <t>High</t>
        </is>
      </c>
      <c r="G48" s="25" t="inlineStr">
        <is>
          <t>Data</t>
        </is>
      </c>
      <c r="H48" s="25" t="inlineStr">
        <is>
          <t>Anonymous (guest) session; storefront reachable at the configured BASE_URL (E2E_ENVIRONMENT / .env). No login needed.</t>
        </is>
      </c>
      <c r="I48"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8"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8"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8" s="13" t="inlineStr">
        <is>
          <t>Automated</t>
        </is>
      </c>
      <c r="M48" s="25" t="inlineStr">
        <is>
          <t>Production-safe</t>
        </is>
      </c>
      <c r="N48" s="25" t="inlineStr">
        <is>
          <t>-</t>
        </is>
      </c>
      <c r="O48" s="25" t="inlineStr">
        <is>
          <t>tests/e2e/storefront/sheet-size-rules/sheet-sticker-size-rules.spec.ts</t>
        </is>
      </c>
      <c r="P48" s="25" t="inlineStr">
        <is>
          <t>MS-SHT-003 원형 판스티커 preset sizes match the shape family table and all fit at least two per sheet</t>
        </is>
      </c>
      <c r="Q48" s="25" t="inlineStr">
        <is>
          <t>@regression @production @purchasing</t>
        </is>
      </c>
      <c r="R48" s="13" t="n">
        <v>5</v>
      </c>
      <c r="S48"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8" s="14" t="inlineStr">
        <is>
          <t>Pass</t>
        </is>
      </c>
      <c r="U48" s="15" t="n"/>
      <c r="V48" s="15" t="inlineStr">
        <is>
          <t>Codex / Playwright</t>
        </is>
      </c>
      <c r="W48" s="15" t="inlineStr">
        <is>
          <t>2026-10-23</t>
        </is>
      </c>
      <c r="X48" s="15" t="inlineStr">
        <is>
          <t>dev-2; retries=0. Full desktop: 5 passed, 0 failed, 0 skipped. See Dev-2 Audit 2026-10-23.</t>
        </is>
      </c>
      <c r="Y48" s="25" t="inlineStr">
        <is>
          <t>MS-V2-075</t>
        </is>
      </c>
    </row>
    <row r="49" ht="150" customHeight="1">
      <c r="A49" s="12" t="inlineStr">
        <is>
          <t>MS-SHT-004</t>
        </is>
      </c>
      <c r="B49" s="25" t="inlineStr">
        <is>
          <t>Storefront</t>
        </is>
      </c>
      <c r="C49" s="25" t="inlineStr">
        <is>
          <t>4. Sheet sticker size rules</t>
        </is>
      </c>
      <c r="D49" s="25" t="inlineStr">
        <is>
          <t>Sheet sticker size rules</t>
        </is>
      </c>
      <c r="E49" s="25" t="inlineStr">
        <is>
          <t>Both cart edit dialogs (the drawer's 사이즈 및 수량 수정 and the cart page's 사이즈 변경) reject a 123x123 mm custom size and disable 업데이트.</t>
        </is>
      </c>
      <c r="F49" s="13" t="inlineStr">
        <is>
          <t>High</t>
        </is>
      </c>
      <c r="G49" s="25" t="inlineStr">
        <is>
          <t>Negative</t>
        </is>
      </c>
      <c r="H49" s="25" t="inlineStr">
        <is>
          <t>Anonymous (guest) session; storefront reachable at the configured BASE_URL (E2E_ENVIRONMENT / .env). No login needed. Adds an item to the guest cart only; no order is placed.</t>
        </is>
      </c>
      <c r="I49" s="25" t="inlineStr">
        <is>
          <t>Product: 원형 판스티커 (/kr/sheet-stickers/circle-sheet); material 무광 화이트; quantity 5 (sheets); blocked custom size 123 x 123 mm (1 per sheet)</t>
        </is>
      </c>
      <c r="J49"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9"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9" s="13" t="inlineStr">
        <is>
          <t>Automated</t>
        </is>
      </c>
      <c r="M49" s="25" t="inlineStr">
        <is>
          <t>Production-safe</t>
        </is>
      </c>
      <c r="N49" s="25" t="inlineStr">
        <is>
          <t>-</t>
        </is>
      </c>
      <c r="O49" s="25" t="inlineStr">
        <is>
          <t>tests/e2e/storefront/sheet-size-rules/sheet-sticker-size-rules.spec.ts</t>
        </is>
      </c>
      <c r="P49" s="25" t="inlineStr">
        <is>
          <t>MS-SHT-004 circle sheet sticker: both cart edit dialogs reject a one-per-sheet custom size</t>
        </is>
      </c>
      <c r="Q49" s="25" t="inlineStr">
        <is>
          <t>@regression @production @purchasing</t>
        </is>
      </c>
      <c r="R49" s="13" t="n">
        <v>1</v>
      </c>
      <c r="S49"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9" s="14" t="inlineStr">
        <is>
          <t>Pass</t>
        </is>
      </c>
      <c r="U49" s="15" t="n"/>
      <c r="V49" s="15" t="inlineStr">
        <is>
          <t>Codex / Playwright</t>
        </is>
      </c>
      <c r="W49" s="15" t="inlineStr">
        <is>
          <t>2026-10-23</t>
        </is>
      </c>
      <c r="X49" s="15" t="inlineStr">
        <is>
          <t>dev-2; retries=0. Full desktop: 1 passed, 0 failed, 0 skipped. See Dev-2 Audit 2026-10-23.</t>
        </is>
      </c>
      <c r="Y49" s="25" t="inlineStr">
        <is>
          <t>MS-V2-076</t>
        </is>
      </c>
    </row>
    <row r="50" ht="150" customHeight="1">
      <c r="A50" s="12" t="inlineStr">
        <is>
          <t>MS-SHT-005</t>
        </is>
      </c>
      <c r="B50" s="25" t="inlineStr">
        <is>
          <t>Storefront</t>
        </is>
      </c>
      <c r="C50" s="25" t="inlineStr">
        <is>
          <t>4. Sheet sticker size rules</t>
        </is>
      </c>
      <c r="D50" s="25" t="inlineStr">
        <is>
          <t>Sheet sticker size rules</t>
        </is>
      </c>
      <c r="E50" s="25" t="inlineStr">
        <is>
          <t>The A5 배치 가이드 dialog on the circle sheet sticker rejects a 123x123 mm custom size and disables 적용하기.</t>
        </is>
      </c>
      <c r="F50" s="13" t="inlineStr">
        <is>
          <t>Medium</t>
        </is>
      </c>
      <c r="G50" s="25" t="inlineStr">
        <is>
          <t>Negative</t>
        </is>
      </c>
      <c r="H50" s="25" t="inlineStr">
        <is>
          <t>Anonymous (guest) session; storefront reachable at the configured BASE_URL (E2E_ENVIRONMENT / .env). No login needed.</t>
        </is>
      </c>
      <c r="I50" s="25" t="inlineStr">
        <is>
          <t>Product: 원형 판스티커 (/kr/sheet-stickers/circle-sheet); blocked custom size 123 x 123 mm</t>
        </is>
      </c>
      <c r="J50"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50" s="25" t="inlineStr">
        <is>
          <t>The size-guide dialog is visible; the width field appears after 직접 입력; the dialog shows the minimum-two-per-sheet error (containing "한 시트에 최소 2개의 스티커"); the 적용하기 button is disabled.</t>
        </is>
      </c>
      <c r="L50" s="13" t="inlineStr">
        <is>
          <t>Automated</t>
        </is>
      </c>
      <c r="M50" s="25" t="inlineStr">
        <is>
          <t>Production-safe</t>
        </is>
      </c>
      <c r="N50" s="25" t="inlineStr">
        <is>
          <t>-</t>
        </is>
      </c>
      <c r="O50" s="25" t="inlineStr">
        <is>
          <t>tests/e2e/storefront/sheet-size-rules/sheet-sticker-size-rules.spec.ts</t>
        </is>
      </c>
      <c r="P50" s="25" t="inlineStr">
        <is>
          <t>MS-SHT-005 circle sheet sticker: the A5 배치 가이드 modal rejects a one-per-sheet custom size</t>
        </is>
      </c>
      <c r="Q50" s="25" t="inlineStr">
        <is>
          <t>@regression @production @purchasing</t>
        </is>
      </c>
      <c r="R50" s="13" t="n">
        <v>1</v>
      </c>
      <c r="S50"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50" s="14" t="inlineStr">
        <is>
          <t>Pass</t>
        </is>
      </c>
      <c r="U50" s="15" t="n"/>
      <c r="V50" s="15" t="inlineStr">
        <is>
          <t>Codex / Playwright</t>
        </is>
      </c>
      <c r="W50" s="15" t="inlineStr">
        <is>
          <t>2026-10-23</t>
        </is>
      </c>
      <c r="X50" s="15" t="inlineStr">
        <is>
          <t>dev-2; retries=0. Full desktop: 1 passed, 0 failed, 0 skipped. See Dev-2 Audit 2026-10-23.</t>
        </is>
      </c>
      <c r="Y50" s="25" t="inlineStr">
        <is>
          <t>MS-V2-077</t>
        </is>
      </c>
    </row>
    <row r="51" ht="150" customHeight="1">
      <c r="A51" s="12" t="inlineStr">
        <is>
          <t>MS-SHT-006</t>
        </is>
      </c>
      <c r="B51" s="25" t="inlineStr">
        <is>
          <t>Storefront</t>
        </is>
      </c>
      <c r="C51" s="25" t="inlineStr">
        <is>
          <t>4. Sheet sticker size rules</t>
        </is>
      </c>
      <c r="D51" s="25" t="inlineStr">
        <is>
          <t>Sheet sticker size rules</t>
        </is>
      </c>
      <c r="E51" s="25" t="inlineStr">
        <is>
          <t>On the circle sheet sticker, the per-sheet count shown for sizes around the gate matches the A5 layout formula, and only sizes packing 2 or more can be ordered.</t>
        </is>
      </c>
      <c r="F51" s="13" t="inlineStr">
        <is>
          <t>High</t>
        </is>
      </c>
      <c r="G51" s="25" t="inlineStr">
        <is>
          <t>Boundary</t>
        </is>
      </c>
      <c r="H51" s="25" t="inlineStr">
        <is>
          <t>Anonymous (guest) session; storefront reachable at the configured BASE_URL (E2E_ENVIRONMENT / .env). No login needed.</t>
        </is>
      </c>
      <c r="I51"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51"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51"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51" s="13" t="inlineStr">
        <is>
          <t>Automated</t>
        </is>
      </c>
      <c r="M51" s="25" t="inlineStr">
        <is>
          <t>Production-safe</t>
        </is>
      </c>
      <c r="N51" s="25" t="inlineStr">
        <is>
          <t>-</t>
        </is>
      </c>
      <c r="O51" s="25" t="inlineStr">
        <is>
          <t>tests/e2e/storefront/sheet-size-rules/sheet-sticker-size-rules.spec.ts</t>
        </is>
      </c>
      <c r="P51" s="25" t="inlineStr">
        <is>
          <t>MS-SHT-006 circle sheet sticker: 138x97 packs 2 per sheet and is orderable</t>
        </is>
      </c>
      <c r="Q51" s="25" t="inlineStr">
        <is>
          <t>@regression @production @purchasing</t>
        </is>
      </c>
      <c r="R51" s="13" t="n">
        <v>11</v>
      </c>
      <c r="S51"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MS-SHT-001), but this test does not check counts for rejected sizes. test-case.md shows no @production tag for this ID, but the code has it.</t>
        </is>
      </c>
      <c r="T51" s="14" t="inlineStr">
        <is>
          <t>Pass</t>
        </is>
      </c>
      <c r="U51" s="15" t="n"/>
      <c r="V51" s="15" t="inlineStr">
        <is>
          <t>Codex / Playwright</t>
        </is>
      </c>
      <c r="W51" s="15" t="inlineStr">
        <is>
          <t>2026-10-23</t>
        </is>
      </c>
      <c r="X51" s="15" t="inlineStr">
        <is>
          <t>dev-2; retries=0. Full desktop: 11 passed, 0 failed, 0 skipped. See Dev-2 Audit 2026-10-23.</t>
        </is>
      </c>
      <c r="Y51" s="25" t="inlineStr">
        <is>
          <t>MS-V2-078</t>
        </is>
      </c>
    </row>
    <row r="52" ht="150" customHeight="1">
      <c r="A52" s="12" t="inlineStr">
        <is>
          <t>MS-CRT-001</t>
        </is>
      </c>
      <c r="B52" s="25" t="inlineStr">
        <is>
          <t>Storefront</t>
        </is>
      </c>
      <c r="C52" s="25" t="inlineStr">
        <is>
          <t>5. Cart</t>
        </is>
      </c>
      <c r="D52" s="25" t="inlineStr">
        <is>
          <t>Cart lifecycle</t>
        </is>
      </c>
      <c r="E52" s="25" t="inlineStr">
        <is>
          <t>Removing the only line item from the cart drawer leaves a clean empty cart in the drawer, the header badge, and the full cart page.</t>
        </is>
      </c>
      <c r="F52" s="13" t="inlineStr">
        <is>
          <t>Critical</t>
        </is>
      </c>
      <c r="G52" s="25" t="inlineStr">
        <is>
          <t>Functional</t>
        </is>
      </c>
      <c r="H52" s="25" t="inlineStr">
        <is>
          <t>Anonymous (guest) session with an empty cart. Storefront reachable at BASE_URL (default https://www.musticker.com/kr).</t>
        </is>
      </c>
      <c r="I52" s="25" t="inlineStr">
        <is>
          <t>Product: 자유형 조각스티커 (/kr/stickers/die-cut-sticker), size 중형 75x75, quantity 100개.</t>
        </is>
      </c>
      <c r="J52"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52"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52" s="13" t="inlineStr">
        <is>
          <t>Automated</t>
        </is>
      </c>
      <c r="M52" s="25" t="inlineStr">
        <is>
          <t>Production-safe</t>
        </is>
      </c>
      <c r="N52" s="25" t="inlineStr">
        <is>
          <t>-</t>
        </is>
      </c>
      <c r="O52" s="25" t="inlineStr">
        <is>
          <t>tests/e2e/storefront/cart/cart-lifecycle.spec.ts</t>
        </is>
      </c>
      <c r="P52" s="25" t="inlineStr">
        <is>
          <t>MS-CRT-001 removing the only line item leaves an empty cart, not a broken one</t>
        </is>
      </c>
      <c r="Q52" s="25" t="inlineStr">
        <is>
          <t>@regression @production @purchasing</t>
        </is>
      </c>
      <c r="R52" s="13" t="n">
        <v>1</v>
      </c>
      <c r="S52"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52" s="14" t="inlineStr">
        <is>
          <t>Pass</t>
        </is>
      </c>
      <c r="U52" s="15" t="n"/>
      <c r="V52" s="15" t="inlineStr">
        <is>
          <t>Codex / Playwright</t>
        </is>
      </c>
      <c r="W52" s="15" t="inlineStr">
        <is>
          <t>2026-10-23</t>
        </is>
      </c>
      <c r="X52" s="15" t="inlineStr">
        <is>
          <t>dev-2; retries=0. Full desktop: 1 passed, 0 failed, 0 skipped. See Dev-2 Audit 2026-10-23.</t>
        </is>
      </c>
      <c r="Y52" s="25" t="inlineStr">
        <is>
          <t>MS-V2-100</t>
        </is>
      </c>
    </row>
    <row r="53" ht="150" customHeight="1">
      <c r="A53" s="12" t="inlineStr">
        <is>
          <t>MS-CRT-002</t>
        </is>
      </c>
      <c r="B53" s="25" t="inlineStr">
        <is>
          <t>Storefront</t>
        </is>
      </c>
      <c r="C53" s="25" t="inlineStr">
        <is>
          <t>5. Cart</t>
        </is>
      </c>
      <c r="D53" s="25" t="inlineStr">
        <is>
          <t>Cart lifecycle</t>
        </is>
      </c>
      <c r="E53" s="25" t="inlineStr">
        <is>
          <t>Two different products added to the cart appear as two lines whose prices add up to the cart total.</t>
        </is>
      </c>
      <c r="F53" s="13" t="inlineStr">
        <is>
          <t>Critical</t>
        </is>
      </c>
      <c r="G53" s="25" t="inlineStr">
        <is>
          <t>Functional</t>
        </is>
      </c>
      <c r="H53" s="25" t="inlineStr">
        <is>
          <t>Anonymous (guest) session with an empty cart.</t>
        </is>
      </c>
      <c r="I53" s="25" t="inlineStr">
        <is>
          <t>Line 1: 자유형 조각스티커 (/kr/stickers/die-cut-sticker), 중형 75x75, 100개. Line 2: 홀로그램 스티커 (/kr/stickers/hologram-sticker), 중형 75x75, 100개. Prices are read live from the quantity tier; no fixed amounts.</t>
        </is>
      </c>
      <c r="J53"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53"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53" s="13" t="inlineStr">
        <is>
          <t>Automated</t>
        </is>
      </c>
      <c r="M53" s="25" t="inlineStr">
        <is>
          <t>Production-safe</t>
        </is>
      </c>
      <c r="N53" s="25" t="inlineStr">
        <is>
          <t>-</t>
        </is>
      </c>
      <c r="O53" s="25" t="inlineStr">
        <is>
          <t>tests/e2e/storefront/cart/cart-lifecycle.spec.ts</t>
        </is>
      </c>
      <c r="P53" s="25" t="inlineStr">
        <is>
          <t>MS-CRT-002 two distinct products become two lines whose prices sum to the cart total</t>
        </is>
      </c>
      <c r="Q53" s="25" t="inlineStr">
        <is>
          <t>@regression @production @purchasing</t>
        </is>
      </c>
      <c r="R53" s="13" t="n">
        <v>1</v>
      </c>
      <c r="S53"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53" s="14" t="inlineStr">
        <is>
          <t>Pass</t>
        </is>
      </c>
      <c r="U53" s="15" t="n"/>
      <c r="V53" s="15" t="inlineStr">
        <is>
          <t>Codex / Playwright</t>
        </is>
      </c>
      <c r="W53" s="15" t="inlineStr">
        <is>
          <t>2026-10-23</t>
        </is>
      </c>
      <c r="X53" s="15" t="inlineStr">
        <is>
          <t>dev-2; retries=0. Full desktop: 1 passed, 0 failed, 0 skipped. See Dev-2 Audit 2026-10-23.</t>
        </is>
      </c>
      <c r="Y53" s="25" t="inlineStr">
        <is>
          <t>MS-V2-101</t>
        </is>
      </c>
    </row>
    <row r="54" ht="150" customHeight="1">
      <c r="A54" s="12" t="inlineStr">
        <is>
          <t>MS-CRT-003</t>
        </is>
      </c>
      <c r="B54" s="25" t="inlineStr">
        <is>
          <t>Storefront</t>
        </is>
      </c>
      <c r="C54" s="25" t="inlineStr">
        <is>
          <t>5. Cart</t>
        </is>
      </c>
      <c r="D54" s="25" t="inlineStr">
        <is>
          <t>Cart lifecycle</t>
        </is>
      </c>
      <c r="E54" s="25" t="inlineStr">
        <is>
          <t>A guest cart survives a full browser reload with its single line and price intact.</t>
        </is>
      </c>
      <c r="F54" s="13" t="inlineStr">
        <is>
          <t>Critical</t>
        </is>
      </c>
      <c r="G54" s="25" t="inlineStr">
        <is>
          <t>Smoke</t>
        </is>
      </c>
      <c r="H54" s="25" t="inlineStr">
        <is>
          <t>Anonymous (guest) session with an empty cart.</t>
        </is>
      </c>
      <c r="I54" s="25" t="inlineStr">
        <is>
          <t>Product: 자유형 조각스티커 (/kr/stickers/die-cut-sticker), 중형 75x75, 100개; the quoted 100개 tier price is captured before adding.</t>
        </is>
      </c>
      <c r="J54"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4" s="25" t="inlineStr">
        <is>
          <t>After reload the header badge still reads 1. /kr/cart shows the 내 장바구니 heading, exactly 1 row, and that row's price equals the price quoted on the product page. Suite guard: no unexpected console errors or HTTP 4xx/5xx.</t>
        </is>
      </c>
      <c r="L54" s="13" t="inlineStr">
        <is>
          <t>Automated</t>
        </is>
      </c>
      <c r="M54" s="25" t="inlineStr">
        <is>
          <t>Production-safe</t>
        </is>
      </c>
      <c r="N54" s="25" t="inlineStr">
        <is>
          <t>-</t>
        </is>
      </c>
      <c r="O54" s="25" t="inlineStr">
        <is>
          <t>tests/e2e/storefront/cart/cart-lifecycle.spec.ts</t>
        </is>
      </c>
      <c r="P54" s="25" t="inlineStr">
        <is>
          <t>MS-CRT-003 a guest cart survives a full page reload @smoke</t>
        </is>
      </c>
      <c r="Q54" s="25" t="inlineStr">
        <is>
          <t>@regression @production @purchasing @smoke</t>
        </is>
      </c>
      <c r="R54" s="13" t="n">
        <v>1</v>
      </c>
      <c r="S54" s="25" t="inlineStr">
        <is>
          <t>Since early October 2026 다음 단계 opens the 어떻게 주문하시겠어요? chooser (with a file / in the studio / file later); add-to-cart takes 이 단계를 건너뛰고 나중에 파일 보내기. Guest cart only; no cleanup.</t>
        </is>
      </c>
      <c r="T54" s="14" t="inlineStr">
        <is>
          <t>Pass</t>
        </is>
      </c>
      <c r="U54" s="15" t="n"/>
      <c r="V54" s="15" t="inlineStr">
        <is>
          <t>Codex / Playwright</t>
        </is>
      </c>
      <c r="W54" s="15" t="inlineStr">
        <is>
          <t>2026-10-23</t>
        </is>
      </c>
      <c r="X54" s="15" t="inlineStr">
        <is>
          <t>dev-2; retries=0. Full desktop: 1 passed, 0 failed, 0 skipped. See Dev-2 Audit 2026-10-23.</t>
        </is>
      </c>
      <c r="Y54" s="25" t="inlineStr">
        <is>
          <t>MS-V2-102</t>
        </is>
      </c>
    </row>
    <row r="55" ht="150" customHeight="1">
      <c r="A55" s="12" t="inlineStr">
        <is>
          <t>MS-CRT-004</t>
        </is>
      </c>
      <c r="B55" s="25" t="inlineStr">
        <is>
          <t>Storefront</t>
        </is>
      </c>
      <c r="C55" s="25" t="inlineStr">
        <is>
          <t>5. Cart</t>
        </is>
      </c>
      <c r="D55" s="25" t="inlineStr">
        <is>
          <t>Cart lifecycle</t>
        </is>
      </c>
      <c r="E55" s="25" t="inlineStr">
        <is>
          <t>The full cart page asks for confirmation before removing a line; cancelling keeps the line and confirming removes it.</t>
        </is>
      </c>
      <c r="F55" s="13" t="inlineStr">
        <is>
          <t>High</t>
        </is>
      </c>
      <c r="G55" s="25" t="inlineStr">
        <is>
          <t>Functional</t>
        </is>
      </c>
      <c r="H55" s="25" t="inlineStr">
        <is>
          <t>Anonymous (guest) session with an empty cart.</t>
        </is>
      </c>
      <c r="I55" s="25" t="inlineStr">
        <is>
          <t>Product: 자유형 조각스티커 (/kr/stickers/die-cut-sticker), 중형 75x75, 100개.</t>
        </is>
      </c>
      <c r="J55"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5"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5" s="13" t="inlineStr">
        <is>
          <t>Automated</t>
        </is>
      </c>
      <c r="M55" s="25" t="inlineStr">
        <is>
          <t>Production-safe</t>
        </is>
      </c>
      <c r="N55" s="25" t="inlineStr">
        <is>
          <t>-</t>
        </is>
      </c>
      <c r="O55" s="25" t="inlineStr">
        <is>
          <t>tests/e2e/storefront/cart/cart-lifecycle.spec.ts</t>
        </is>
      </c>
      <c r="P55" s="25" t="inlineStr">
        <is>
          <t>MS-CRT-004 the cart page confirms a removal before acting on it</t>
        </is>
      </c>
      <c r="Q55" s="25" t="inlineStr">
        <is>
          <t>@regression @production @purchasing</t>
        </is>
      </c>
      <c r="R55" s="13" t="n">
        <v>1</v>
      </c>
      <c r="S55" s="25" t="inlineStr">
        <is>
          <t>Since early October 2026 다음 단계 opens the 어떻게 주문하시겠어요? chooser (with a file / in the studio / file later); add-to-cart takes 이 단계를 건너뛰고 나중에 파일 보내기. Guest cart only; the test itself empties it.</t>
        </is>
      </c>
      <c r="T55" s="14" t="inlineStr">
        <is>
          <t>Pass</t>
        </is>
      </c>
      <c r="U55" s="15" t="n"/>
      <c r="V55" s="15" t="inlineStr">
        <is>
          <t>Codex / Playwright</t>
        </is>
      </c>
      <c r="W55" s="15" t="inlineStr">
        <is>
          <t>2026-10-23</t>
        </is>
      </c>
      <c r="X55" s="15" t="inlineStr">
        <is>
          <t>dev-2; retries=0. Full desktop: 1 passed, 0 failed, 0 skipped. See Dev-2 Audit 2026-10-23.</t>
        </is>
      </c>
      <c r="Y55" s="25" t="inlineStr">
        <is>
          <t>MS-V2-103</t>
        </is>
      </c>
    </row>
    <row r="56" ht="150" customHeight="1">
      <c r="A56" s="12" t="inlineStr">
        <is>
          <t>MS-CRT-005</t>
        </is>
      </c>
      <c r="B56" s="25" t="inlineStr">
        <is>
          <t>Storefront</t>
        </is>
      </c>
      <c r="C56" s="25" t="inlineStr">
        <is>
          <t>5. Cart</t>
        </is>
      </c>
      <c r="D56" s="25" t="inlineStr">
        <is>
          <t>Guest cart merge</t>
        </is>
      </c>
      <c r="E56" s="25" t="inlineStr">
        <is>
          <t>Items added to the cart as a guest are kept in the member's cart, at the same price, after logging in through the login form.</t>
        </is>
      </c>
      <c r="F56" s="13" t="inlineStr">
        <is>
          <t>Critical</t>
        </is>
      </c>
      <c r="G56" s="25" t="inlineStr">
        <is>
          <t>Integration</t>
        </is>
      </c>
      <c r="H56" s="25" t="inlineStr">
        <is>
          <t>Dev environment (not production). Seeded member account exists on that environment. Anonymous browser session at start. Test timeout 180 s.</t>
        </is>
      </c>
      <c r="I56" s="25" t="inlineStr">
        <is>
          <t>Guest line: 홀로그램 스티커 (/kr/stickers/hologram-sticker), 중형 75x75, 100개. Member: AUTH_TEST_EMAIL / AUTH_TEST_PASSWORD.</t>
        </is>
      </c>
      <c r="J56"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6"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6" s="13" t="inlineStr">
        <is>
          <t>Automated</t>
        </is>
      </c>
      <c r="M56" s="25" t="inlineStr">
        <is>
          <t>Dev only</t>
        </is>
      </c>
      <c r="N56" s="25" t="inlineStr">
        <is>
          <t>AUTH_TEST_EMAIL/AUTH_TEST_PASSWORD; RUN_AUTH_DESTRUCTIVE_E2E=true</t>
        </is>
      </c>
      <c r="O56" s="25" t="inlineStr">
        <is>
          <t>tests/e2e/storefront/cart/guest-cart-merge.spec.ts</t>
        </is>
      </c>
      <c r="P56" s="25" t="inlineStr">
        <is>
          <t>MS-CRT-005 a guest cart is merged into the member cart on login</t>
        </is>
      </c>
      <c r="Q56" s="25" t="inlineStr">
        <is>
          <t>@regression @purchasing @credentialed @destructive @slow</t>
        </is>
      </c>
      <c r="R56" s="13" t="n">
        <v>1</v>
      </c>
      <c r="S56"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6" s="14" t="inlineStr">
        <is>
          <t>Not Run</t>
        </is>
      </c>
      <c r="U56" s="15" t="n"/>
      <c r="V56" s="15" t="n"/>
      <c r="W56" s="15" t="n"/>
      <c r="X56" s="15" t="n"/>
      <c r="Y56" s="25" t="inlineStr">
        <is>
          <t>MS-V2-104</t>
        </is>
      </c>
    </row>
    <row r="57" ht="150" customHeight="1">
      <c r="A57" s="12" t="inlineStr">
        <is>
          <t>MS-CRT-006</t>
        </is>
      </c>
      <c r="B57" s="25" t="inlineStr">
        <is>
          <t>Storefront</t>
        </is>
      </c>
      <c r="C57" s="25" t="inlineStr">
        <is>
          <t>5. Cart</t>
        </is>
      </c>
      <c r="D57" s="25" t="inlineStr">
        <is>
          <t>Cart lifecycle</t>
        </is>
      </c>
      <c r="E57" s="25" t="inlineStr">
        <is>
          <t>An empty cart page shows product links back into the catalog instead of a dead end.</t>
        </is>
      </c>
      <c r="F57" s="13" t="inlineStr">
        <is>
          <t>Medium</t>
        </is>
      </c>
      <c r="G57" s="25" t="inlineStr">
        <is>
          <t>UI</t>
        </is>
      </c>
      <c r="H57" s="25" t="inlineStr">
        <is>
          <t>Anonymous (guest) session with an empty cart.</t>
        </is>
      </c>
      <c r="I57" s="25" t="inlineStr">
        <is>
          <t>None (empty cart).</t>
        </is>
      </c>
      <c r="J57" s="25" t="inlineStr">
        <is>
          <t>1. Open /kr/cart directly with nothing in the cart.
2. Check the empty state.
3. Check for the featured die-cut sticker link and the discover circle sticker link.
4. Check whether the order summary block is shown.</t>
        </is>
      </c>
      <c r="K57"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7" s="13" t="inlineStr">
        <is>
          <t>Automated</t>
        </is>
      </c>
      <c r="M57" s="25" t="inlineStr">
        <is>
          <t>Production-safe</t>
        </is>
      </c>
      <c r="N57" s="25" t="inlineStr">
        <is>
          <t>-</t>
        </is>
      </c>
      <c r="O57" s="25" t="inlineStr">
        <is>
          <t>tests/e2e/storefront/cart/cart-lifecycle.spec.ts</t>
        </is>
      </c>
      <c r="P57" s="25" t="inlineStr">
        <is>
          <t>MS-CRT-006 an empty cart page offers a way back into the catalog</t>
        </is>
      </c>
      <c r="Q57" s="25" t="inlineStr">
        <is>
          <t>@regression @production</t>
        </is>
      </c>
      <c r="R57" s="13" t="n">
        <v>1</v>
      </c>
      <c r="S57" s="25" t="inlineStr">
        <is>
          <t>The empty state replaces the whole page including the 내 장바구니 heading (verified development-1), so the heading is intentionally not expected. Links are checked for visibility only, not clicked.</t>
        </is>
      </c>
      <c r="T57" s="14" t="inlineStr">
        <is>
          <t>Pass</t>
        </is>
      </c>
      <c r="U57" s="15" t="n"/>
      <c r="V57" s="15" t="inlineStr">
        <is>
          <t>Codex / Playwright</t>
        </is>
      </c>
      <c r="W57" s="15" t="inlineStr">
        <is>
          <t>2026-10-23</t>
        </is>
      </c>
      <c r="X57" s="15" t="inlineStr">
        <is>
          <t>dev-2; retries=0. Full desktop: 1 passed, 0 failed, 0 skipped. See Dev-2 Audit 2026-10-23.</t>
        </is>
      </c>
      <c r="Y57" s="25" t="inlineStr">
        <is>
          <t>MS-V2-105</t>
        </is>
      </c>
    </row>
    <row r="58" ht="150" customHeight="1">
      <c r="A58" s="12" t="inlineStr">
        <is>
          <t>MS-CHK-001</t>
        </is>
      </c>
      <c r="B58" s="25" t="inlineStr">
        <is>
          <t>Storefront</t>
        </is>
      </c>
      <c r="C58" s="25" t="inlineStr">
        <is>
          <t>6. Checkout &amp; money path</t>
        </is>
      </c>
      <c r="D58" s="25" t="inlineStr">
        <is>
          <t>Guest checkout payment</t>
        </is>
      </c>
      <c r="E58" s="25" t="inlineStr">
        <is>
          <t>A guest can check out end to end with the KakaoPay sandbox (PayApp local mock), reach the order confirmation page and receive a 주문 안내 email carrying the order number.</t>
        </is>
      </c>
      <c r="F58" s="13" t="inlineStr">
        <is>
          <t>Critical</t>
        </is>
      </c>
      <c r="G58" s="25" t="inlineStr">
        <is>
          <t>E2E</t>
        </is>
      </c>
      <c r="H58" s="25" t="inlineStr">
        <is>
          <t>Dev sandbox environment with the PayApp — Local Mock KakaoPay gateway (verified on development-3 only). Never production (no sandbox payment there). Anonymous session with an empty cart. Internet access to api.mail.tm. Test timeout 120 s.</t>
        </is>
      </c>
      <c r="I58"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8"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8"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8" s="13" t="inlineStr">
        <is>
          <t>Automated</t>
        </is>
      </c>
      <c r="M58" s="25" t="inlineStr">
        <is>
          <t>Dev only</t>
        </is>
      </c>
      <c r="N58" s="25" t="inlineStr">
        <is>
          <t>RUN_PAYMENT_E2E=true (dev sandbox only); api.mail.tm reachable</t>
        </is>
      </c>
      <c r="O58" s="25" t="inlineStr">
        <is>
          <t>tests/e2e/storefront/checkout/guest-checkout-payment.spec.ts</t>
        </is>
      </c>
      <c r="P58" s="25" t="inlineStr">
        <is>
          <t>MS-CHK-001 guest checkout completes via the KakaoPay sandbox and sends an order-confirmation email</t>
        </is>
      </c>
      <c r="Q58" s="25" t="inlineStr">
        <is>
          <t>@e2e @destructive @slow @payment</t>
        </is>
      </c>
      <c r="R58" s="13" t="n">
        <v>1</v>
      </c>
      <c r="S58"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dev-1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8" s="14" t="inlineStr">
        <is>
          <t>Not Run</t>
        </is>
      </c>
      <c r="U58" s="15" t="n"/>
      <c r="V58" s="15" t="n"/>
      <c r="W58" s="15" t="n"/>
      <c r="X58" s="15" t="n"/>
      <c r="Y58" s="25" t="inlineStr">
        <is>
          <t>MS-V2-025</t>
        </is>
      </c>
    </row>
    <row r="59" ht="150" customHeight="1">
      <c r="A59" s="12" t="inlineStr">
        <is>
          <t>MS-CHK-002</t>
        </is>
      </c>
      <c r="B59" s="25" t="inlineStr">
        <is>
          <t>Storefront</t>
        </is>
      </c>
      <c r="C59" s="25" t="inlineStr">
        <is>
          <t>6. Checkout &amp; money path</t>
        </is>
      </c>
      <c r="D59" s="25" t="inlineStr">
        <is>
          <t>Checkout page</t>
        </is>
      </c>
      <c r="E59" s="25" t="inlineStr">
        <is>
          <t>With an item in the cart, the checkout page shows contact/shipping fields, payment options, coupon copy and the pay button without anything being submitted.</t>
        </is>
      </c>
      <c r="F59" s="13" t="inlineStr">
        <is>
          <t>High</t>
        </is>
      </c>
      <c r="G59" s="25" t="inlineStr">
        <is>
          <t>UI</t>
        </is>
      </c>
      <c r="H59" s="25" t="inlineStr">
        <is>
          <t>Anonymous (guest) session. One item in the cart (added by the test).</t>
        </is>
      </c>
      <c r="I59" s="25" t="inlineStr">
        <is>
          <t>Product: 자유형 조각스티커 (/kr/stickers/die-cut-sticker), 중형 75x75, 100개.</t>
        </is>
      </c>
      <c r="J59"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9" s="25" t="inlineStr">
        <is>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is>
      </c>
      <c r="L59" s="13" t="inlineStr">
        <is>
          <t>Automated</t>
        </is>
      </c>
      <c r="M59" s="25" t="inlineStr">
        <is>
          <t>Production-safe</t>
        </is>
      </c>
      <c r="N59" s="25" t="inlineStr">
        <is>
          <t>-</t>
        </is>
      </c>
      <c r="O59" s="25" t="inlineStr">
        <is>
          <t>tests/e2e/storefront/checkout/checkout-page.spec.ts</t>
        </is>
      </c>
      <c r="P59" s="25" t="inlineStr">
        <is>
          <t>MS-CHK-002 checkout page renders shipping, payment, and order summary without submitting</t>
        </is>
      </c>
      <c r="Q59" s="25" t="inlineStr">
        <is>
          <t>@regression @production</t>
        </is>
      </c>
      <c r="R59" s="13" t="n">
        <v>1</v>
      </c>
      <c r="S59"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9" s="14" t="inlineStr">
        <is>
          <t>Pass</t>
        </is>
      </c>
      <c r="U59" s="15" t="n"/>
      <c r="V59" s="15" t="inlineStr">
        <is>
          <t>Codex / Playwright</t>
        </is>
      </c>
      <c r="W59" s="15" t="inlineStr">
        <is>
          <t>2026-10-23</t>
        </is>
      </c>
      <c r="X59" s="15" t="inlineStr">
        <is>
          <t>dev-2; retries=0. Full desktop: 1 passed, 0 failed, 0 skipped. See Dev-2 Audit 2026-10-23.</t>
        </is>
      </c>
      <c r="Y59" s="25" t="inlineStr">
        <is>
          <t>MS-V2-041</t>
        </is>
      </c>
    </row>
    <row r="60" ht="150" customHeight="1">
      <c r="A60" s="12" t="inlineStr">
        <is>
          <t>MS-CHK-003</t>
        </is>
      </c>
      <c r="B60" s="25" t="inlineStr">
        <is>
          <t>Storefront</t>
        </is>
      </c>
      <c r="C60" s="25" t="inlineStr">
        <is>
          <t>6. Checkout &amp; money path</t>
        </is>
      </c>
      <c r="D60" s="25" t="inlineStr">
        <is>
          <t>Checkout page</t>
        </is>
      </c>
      <c r="E60" s="25" t="inlineStr">
        <is>
          <t>Clicking 결제하기 with all contact and shipping fields blank keeps the shopper on checkout and sends no order or payment request.</t>
        </is>
      </c>
      <c r="F60" s="13" t="inlineStr">
        <is>
          <t>High</t>
        </is>
      </c>
      <c r="G60" s="25" t="inlineStr">
        <is>
          <t>Negative</t>
        </is>
      </c>
      <c r="H60" s="25" t="inlineStr">
        <is>
          <t>Anonymous (guest) session. One item in the cart (added by the test). Checkout fields left blank.</t>
        </is>
      </c>
      <c r="I60" s="25" t="inlineStr">
        <is>
          <t>Product: 자유형 조각스티커 (/kr/stickers/die-cut-sticker), 중형 75x75, 100개. All checkout fields empty.</t>
        </is>
      </c>
      <c r="J60" s="25" t="inlineStr">
        <is>
          <t>1. Add the configured die-cut sticker to a guest cart.
2. Open checkout and wait for hydration.
3. Leave required fields blank and click Pay.
4. Wait for visible native/ARIA validation or the required-email message.
5. Verify checkout remains visible and no order/payment mutation request was made.</t>
        </is>
      </c>
      <c r="K60" s="25" t="inlineStr">
        <is>
          <t>Visible required-field feedback; shopper remains on checkout; Pay stays visible; no order/payment/checkout mutation request. Console/HTTP guards remain active.</t>
        </is>
      </c>
      <c r="L60" s="13" t="inlineStr">
        <is>
          <t>Automated</t>
        </is>
      </c>
      <c r="M60" s="25" t="inlineStr">
        <is>
          <t>Production-safe</t>
        </is>
      </c>
      <c r="N60" s="25" t="inlineStr">
        <is>
          <t>-</t>
        </is>
      </c>
      <c r="O60" s="25" t="inlineStr">
        <is>
          <t>tests/e2e/storefront/checkout/checkout-page.spec.ts</t>
        </is>
      </c>
      <c r="P60" s="25" t="inlineStr">
        <is>
          <t>MS-CHK-003 checkout blocks payment submission when required fields are blank</t>
        </is>
      </c>
      <c r="Q60" s="25" t="inlineStr">
        <is>
          <t>@regression @production</t>
        </is>
      </c>
      <c r="R60" s="13" t="n">
        <v>1</v>
      </c>
      <c r="S60" s="25" t="inlineStr">
        <is>
          <t>2026-10-23 dev-2: visible Korean validation did not match the old .error-text selector. Helper now recognizes the actual required-email copy or native/ARIA invalid fields. Focused replay passed; original run also logged a fetch console error.</t>
        </is>
      </c>
      <c r="T60" s="14" t="inlineStr">
        <is>
          <t>Pass</t>
        </is>
      </c>
      <c r="U60" s="15" t="n"/>
      <c r="V60" s="15" t="inlineStr">
        <is>
          <t>Codex / Playwright</t>
        </is>
      </c>
      <c r="W60" s="15" t="inlineStr">
        <is>
          <t>2026-10-23</t>
        </is>
      </c>
      <c r="X60" s="15" t="inlineStr">
        <is>
          <t>dev-2; retries=0. Full desktop: 0 passed, 1 failed, 0 skipped; Focused replay: 1 passed, 0 failed, 0 skipped. See Dev-2 Audit 2026-10-23.</t>
        </is>
      </c>
      <c r="Y60" s="25" t="inlineStr">
        <is>
          <t>MS-V2-042</t>
        </is>
      </c>
    </row>
    <row r="61" ht="150" customHeight="1">
      <c r="A61" s="12" t="inlineStr">
        <is>
          <t>MS-CHK-004</t>
        </is>
      </c>
      <c r="B61" s="25" t="inlineStr">
        <is>
          <t>Storefront</t>
        </is>
      </c>
      <c r="C61" s="25" t="inlineStr">
        <is>
          <t>6. Checkout &amp; money path</t>
        </is>
      </c>
      <c r="D61" s="25" t="inlineStr">
        <is>
          <t>Money path</t>
        </is>
      </c>
      <c r="E61" s="25" t="inlineStr">
        <is>
          <t>The price quoted on the product page is the same in the cart drawer, the cart page and the checkout 소계, and the checkout summary adds up.</t>
        </is>
      </c>
      <c r="F61" s="13" t="inlineStr">
        <is>
          <t>Critical</t>
        </is>
      </c>
      <c r="G61" s="25" t="inlineStr">
        <is>
          <t>Integration</t>
        </is>
      </c>
      <c r="H61" s="25" t="inlineStr">
        <is>
          <t>Anonymous (guest) session with an empty cart.</t>
        </is>
      </c>
      <c r="I61" s="25" t="inlineStr">
        <is>
          <t>Product: 자유형 조각스티커 (/kr/stickers/die-cut-sticker), 중형 75x75 (75x75 mm), 100개. Quoted price read live from the 100개 tier.</t>
        </is>
      </c>
      <c r="J61"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61"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61" s="13" t="inlineStr">
        <is>
          <t>Automated</t>
        </is>
      </c>
      <c r="M61" s="25" t="inlineStr">
        <is>
          <t>Production-safe</t>
        </is>
      </c>
      <c r="N61" s="25" t="inlineStr">
        <is>
          <t>-</t>
        </is>
      </c>
      <c r="O61" s="25" t="inlineStr">
        <is>
          <t>tests/e2e/storefront/checkout/money-path.spec.ts</t>
        </is>
      </c>
      <c r="P61" s="25" t="inlineStr">
        <is>
          <t>MS-CHK-004 the quoted price survives product page, cart, and checkout unchanged</t>
        </is>
      </c>
      <c r="Q61" s="25" t="inlineStr">
        <is>
          <t>@regression @production @purchasing</t>
        </is>
      </c>
      <c r="R61" s="13" t="n">
        <v>1</v>
      </c>
      <c r="S61"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61" s="14" t="inlineStr">
        <is>
          <t>Pass</t>
        </is>
      </c>
      <c r="U61" s="15" t="n"/>
      <c r="V61" s="15" t="inlineStr">
        <is>
          <t>Codex / Playwright</t>
        </is>
      </c>
      <c r="W61" s="15" t="inlineStr">
        <is>
          <t>2026-10-23</t>
        </is>
      </c>
      <c r="X61" s="15" t="inlineStr">
        <is>
          <t>dev-2; retries=0. Full desktop: 1 passed, 0 failed, 0 skipped. See Dev-2 Audit 2026-10-23.</t>
        </is>
      </c>
      <c r="Y61" s="25" t="inlineStr">
        <is>
          <t>MS-V2-097</t>
        </is>
      </c>
    </row>
    <row r="62" ht="150" customHeight="1">
      <c r="A62" s="12" t="inlineStr">
        <is>
          <t>MS-CHK-005</t>
        </is>
      </c>
      <c r="B62" s="25" t="inlineStr">
        <is>
          <t>Storefront</t>
        </is>
      </c>
      <c r="C62" s="25" t="inlineStr">
        <is>
          <t>6. Checkout &amp; money path</t>
        </is>
      </c>
      <c r="D62" s="25" t="inlineStr">
        <is>
          <t>Money path</t>
        </is>
      </c>
      <c r="E62" s="25" t="inlineStr">
        <is>
          <t>An order below the 5만원 free-shipping threshold is charged a shipping fee at checkout.</t>
        </is>
      </c>
      <c r="F62" s="13" t="inlineStr">
        <is>
          <t>High</t>
        </is>
      </c>
      <c r="G62" s="25" t="inlineStr">
        <is>
          <t>Functional</t>
        </is>
      </c>
      <c r="H62" s="25" t="inlineStr">
        <is>
          <t>Anonymous (guest) session with an empty cart.</t>
        </is>
      </c>
      <c r="I62" s="25" t="inlineStr">
        <is>
          <t>Product: 자유형 조각스티커 (/kr/stickers/die-cut-sticker), 중형 75x75, 100개. Free-shipping threshold 50,000원.</t>
        </is>
      </c>
      <c r="J62"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62"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62" s="13" t="inlineStr">
        <is>
          <t>Automated</t>
        </is>
      </c>
      <c r="M62" s="25" t="inlineStr">
        <is>
          <t>Production-safe</t>
        </is>
      </c>
      <c r="N62" s="25" t="inlineStr">
        <is>
          <t>-</t>
        </is>
      </c>
      <c r="O62" s="25" t="inlineStr">
        <is>
          <t>tests/e2e/storefront/checkout/money-path.spec.ts</t>
        </is>
      </c>
      <c r="P62" s="25" t="inlineStr">
        <is>
          <t>MS-CHK-005 an order below the free-shipping threshold is charged shipping</t>
        </is>
      </c>
      <c r="Q62" s="25" t="inlineStr">
        <is>
          <t>@regression @production @purchasing</t>
        </is>
      </c>
      <c r="R62" s="13" t="n">
        <v>1</v>
      </c>
      <c r="S62"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62" s="14" t="inlineStr">
        <is>
          <t>Pass</t>
        </is>
      </c>
      <c r="U62" s="15" t="n"/>
      <c r="V62" s="15" t="inlineStr">
        <is>
          <t>Codex / Playwright</t>
        </is>
      </c>
      <c r="W62" s="15" t="inlineStr">
        <is>
          <t>2026-10-23</t>
        </is>
      </c>
      <c r="X62" s="15" t="inlineStr">
        <is>
          <t>dev-2; retries=0. Full desktop: 1 passed, 0 failed, 0 skipped. See Dev-2 Audit 2026-10-23.</t>
        </is>
      </c>
      <c r="Y62" s="25" t="inlineStr">
        <is>
          <t>MS-V2-098</t>
        </is>
      </c>
    </row>
    <row r="63" ht="150" customHeight="1">
      <c r="A63" s="12" t="inlineStr">
        <is>
          <t>MS-CHK-006</t>
        </is>
      </c>
      <c r="B63" s="25" t="inlineStr">
        <is>
          <t>Storefront</t>
        </is>
      </c>
      <c r="C63" s="25" t="inlineStr">
        <is>
          <t>6. Checkout &amp; money path</t>
        </is>
      </c>
      <c r="D63" s="25" t="inlineStr">
        <is>
          <t>Money path</t>
        </is>
      </c>
      <c r="E63" s="25" t="inlineStr">
        <is>
          <t>An order at or above the 5만원 free-shipping threshold ships free and its total equals its subtotal.</t>
        </is>
      </c>
      <c r="F63" s="13" t="inlineStr">
        <is>
          <t>High</t>
        </is>
      </c>
      <c r="G63" s="25" t="inlineStr">
        <is>
          <t>Functional</t>
        </is>
      </c>
      <c r="H63" s="25" t="inlineStr">
        <is>
          <t>Anonymous (guest) session with an empty cart.</t>
        </is>
      </c>
      <c r="I63" s="25" t="inlineStr">
        <is>
          <t>Product: 자유형 조각스티커 (/kr/stickers/die-cut-sticker), 중형 75x75, 1,000개. Free-shipping threshold 50,000원.</t>
        </is>
      </c>
      <c r="J63"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63"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63" s="13" t="inlineStr">
        <is>
          <t>Automated</t>
        </is>
      </c>
      <c r="M63" s="25" t="inlineStr">
        <is>
          <t>Production-safe</t>
        </is>
      </c>
      <c r="N63" s="25" t="inlineStr">
        <is>
          <t>-</t>
        </is>
      </c>
      <c r="O63" s="25" t="inlineStr">
        <is>
          <t>tests/e2e/storefront/checkout/money-path.spec.ts</t>
        </is>
      </c>
      <c r="P63" s="25" t="inlineStr">
        <is>
          <t>MS-CHK-006 an order at or above the free-shipping threshold ships free</t>
        </is>
      </c>
      <c r="Q63" s="25" t="inlineStr">
        <is>
          <t>@regression @production @purchasing</t>
        </is>
      </c>
      <c r="R63" s="13" t="n">
        <v>1</v>
      </c>
      <c r="S63"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63" s="14" t="inlineStr">
        <is>
          <t>Pass</t>
        </is>
      </c>
      <c r="U63" s="15" t="n"/>
      <c r="V63" s="15" t="inlineStr">
        <is>
          <t>Codex / Playwright</t>
        </is>
      </c>
      <c r="W63" s="15" t="inlineStr">
        <is>
          <t>2026-10-23</t>
        </is>
      </c>
      <c r="X63" s="15" t="inlineStr">
        <is>
          <t>dev-2; retries=0. Full desktop: 1 passed, 0 failed, 0 skipped. See Dev-2 Audit 2026-10-23.</t>
        </is>
      </c>
      <c r="Y63" s="25" t="inlineStr">
        <is>
          <t>MS-V2-099</t>
        </is>
      </c>
    </row>
    <row r="64" ht="150" customHeight="1">
      <c r="A64" s="16" t="inlineStr">
        <is>
          <t>MS-PRC-INT-AREA</t>
        </is>
      </c>
      <c r="B64" s="17" t="inlineStr">
        <is>
          <t>Storefront</t>
        </is>
      </c>
      <c r="C64" s="17" t="inlineStr">
        <is>
          <t>7. Pricing</t>
        </is>
      </c>
      <c r="D64" s="17" t="inlineStr">
        <is>
          <t>Price interpolation</t>
        </is>
      </c>
      <c r="E64" s="17" t="inlineStr">
        <is>
          <t>An off-grid area strictly between two stored grid rows is priced by linear interpolation of the UNROUNDED bound totals, rounded once at the end.</t>
        </is>
      </c>
      <c r="F64" s="29" t="inlineStr">
        <is>
          <t>Critical</t>
        </is>
      </c>
      <c r="G64" s="17" t="inlineStr">
        <is>
          <t>Boundary</t>
        </is>
      </c>
      <c r="H64" s="17" t="inlineStr">
        <is>
          <t>E2E_ENVIRONMENT is in each product's csvSources (production covers all 20 products); pricing API reachable.</t>
        </is>
      </c>
      <c r="I64" s="17"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4" s="17"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4" s="17"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4" s="29" t="inlineStr">
        <is>
          <t>Withdrawn</t>
        </is>
      </c>
      <c r="M64" s="17" t="inlineStr">
        <is>
          <t>Production-safe</t>
        </is>
      </c>
      <c r="N64" s="17" t="inlineStr">
        <is>
          <t>None (public read-only API). Runs only for products whose csvSources include the active environment; otherwise one skipped placeholder per product.</t>
        </is>
      </c>
      <c r="O64" s="17" t="inlineStr">
        <is>
          <t>-</t>
        </is>
      </c>
      <c r="P64" s="17" t="inlineStr">
        <is>
          <t>-</t>
        </is>
      </c>
      <c r="Q64" s="17" t="inlineStr">
        <is>
          <t>-</t>
        </is>
      </c>
      <c r="R64" s="29" t="n">
        <v>0</v>
      </c>
      <c r="S64"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4" s="30" t="inlineStr">
        <is>
          <t>N/A</t>
        </is>
      </c>
      <c r="U64" s="31" t="n"/>
      <c r="V64" s="31" t="n"/>
      <c r="W64" s="31" t="n"/>
      <c r="X64" s="31" t="n"/>
      <c r="Y64" s="17" t="n"/>
    </row>
    <row r="65" ht="150" customHeight="1">
      <c r="A65" s="16" t="inlineStr">
        <is>
          <t>MS-PRC-INT-HIGH</t>
        </is>
      </c>
      <c r="B65" s="17" t="inlineStr">
        <is>
          <t>Storefront</t>
        </is>
      </c>
      <c r="C65" s="17" t="inlineStr">
        <is>
          <t>7. Pricing</t>
        </is>
      </c>
      <c r="D65" s="17" t="inlineStr">
        <is>
          <t>Price interpolation</t>
        </is>
      </c>
      <c r="E65" s="17" t="inlineStr">
        <is>
          <t>The largest grid row a table declares is quoted exactly from the CSV at both the first and the last quantity rung.</t>
        </is>
      </c>
      <c r="F65" s="29" t="inlineStr">
        <is>
          <t>High</t>
        </is>
      </c>
      <c r="G65" s="17" t="inlineStr">
        <is>
          <t>Boundary</t>
        </is>
      </c>
      <c r="H65" s="17" t="inlineStr">
        <is>
          <t>E2E_ENVIRONMENT is in each product's csvSources (production covers all 20 products); pricing API reachable.</t>
        </is>
      </c>
      <c r="I65" s="17"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5" s="17"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5" s="17" t="inlineStr">
        <is>
          <t>Both quoted totals equal the CSV-computed exact total.</t>
        </is>
      </c>
      <c r="L65" s="29" t="inlineStr">
        <is>
          <t>Withdrawn</t>
        </is>
      </c>
      <c r="M65" s="17" t="inlineStr">
        <is>
          <t>Production-safe</t>
        </is>
      </c>
      <c r="N65" s="17" t="inlineStr">
        <is>
          <t>None (public read-only API). Runs only for products whose csvSources include the active environment; otherwise one skipped placeholder per product.</t>
        </is>
      </c>
      <c r="O65" s="17" t="inlineStr">
        <is>
          <t>-</t>
        </is>
      </c>
      <c r="P65" s="17" t="inlineStr">
        <is>
          <t>-</t>
        </is>
      </c>
      <c r="Q65" s="17" t="inlineStr">
        <is>
          <t>-</t>
        </is>
      </c>
      <c r="R65" s="29" t="n">
        <v>0</v>
      </c>
      <c r="S65"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5" s="30" t="inlineStr">
        <is>
          <t>N/A</t>
        </is>
      </c>
      <c r="U65" s="31" t="n"/>
      <c r="V65" s="31" t="n"/>
      <c r="W65" s="31" t="n"/>
      <c r="X65" s="31" t="n"/>
      <c r="Y65" s="17" t="n"/>
    </row>
    <row r="66" ht="150" customHeight="1">
      <c r="A66" s="16" t="inlineStr">
        <is>
          <t>MS-PRC-INT-LOW</t>
        </is>
      </c>
      <c r="B66" s="17" t="inlineStr">
        <is>
          <t>Storefront</t>
        </is>
      </c>
      <c r="C66" s="17" t="inlineStr">
        <is>
          <t>7. Pricing</t>
        </is>
      </c>
      <c r="D66" s="17" t="inlineStr">
        <is>
          <t>Price interpolation</t>
        </is>
      </c>
      <c r="E66" s="17" t="inlineStr">
        <is>
          <t>The smallest grid row a table declares is quoted exactly from the CSV at both the first and the last quantity rung.</t>
        </is>
      </c>
      <c r="F66" s="29" t="inlineStr">
        <is>
          <t>High</t>
        </is>
      </c>
      <c r="G66" s="17" t="inlineStr">
        <is>
          <t>Boundary</t>
        </is>
      </c>
      <c r="H66" s="17" t="inlineStr">
        <is>
          <t>E2E_ENVIRONMENT is in each product's csvSources (production covers all 20 products); pricing API reachable.</t>
        </is>
      </c>
      <c r="I66" s="17"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6" s="17"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6" s="17" t="inlineStr">
        <is>
          <t>Both quoted totals equal the CSV-computed exact total (soft asserts, both quantities reported).</t>
        </is>
      </c>
      <c r="L66" s="29" t="inlineStr">
        <is>
          <t>Withdrawn</t>
        </is>
      </c>
      <c r="M66" s="17" t="inlineStr">
        <is>
          <t>Production-safe</t>
        </is>
      </c>
      <c r="N66" s="17" t="inlineStr">
        <is>
          <t>None (public read-only API). Runs only for products whose csvSources include the active environment; otherwise one skipped placeholder per product.</t>
        </is>
      </c>
      <c r="O66" s="17" t="inlineStr">
        <is>
          <t>-</t>
        </is>
      </c>
      <c r="P66" s="17" t="inlineStr">
        <is>
          <t>-</t>
        </is>
      </c>
      <c r="Q66" s="17" t="inlineStr">
        <is>
          <t>-</t>
        </is>
      </c>
      <c r="R66" s="29" t="n">
        <v>0</v>
      </c>
      <c r="S66"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6" s="30" t="inlineStr">
        <is>
          <t>N/A</t>
        </is>
      </c>
      <c r="U66" s="31" t="n"/>
      <c r="V66" s="31" t="n"/>
      <c r="W66" s="31" t="n"/>
      <c r="X66" s="31" t="n"/>
      <c r="Y66" s="17" t="n"/>
    </row>
    <row r="67" ht="150" customHeight="1">
      <c r="A67" s="16" t="inlineStr">
        <is>
          <t>MS-PRC-INT-QTY</t>
        </is>
      </c>
      <c r="B67" s="17" t="inlineStr">
        <is>
          <t>Storefront</t>
        </is>
      </c>
      <c r="C67" s="17" t="inlineStr">
        <is>
          <t>7. Pricing</t>
        </is>
      </c>
      <c r="D67" s="17" t="inlineStr">
        <is>
          <t>Price interpolation</t>
        </is>
      </c>
      <c r="E67" s="17" t="inlineStr">
        <is>
          <t>An off-ladder quantity at a grid area is priced by linear interpolation of the already ROUNDED rung totals.</t>
        </is>
      </c>
      <c r="F67" s="29" t="inlineStr">
        <is>
          <t>Critical</t>
        </is>
      </c>
      <c r="G67" s="17" t="inlineStr">
        <is>
          <t>Boundary</t>
        </is>
      </c>
      <c r="H67" s="17" t="inlineStr">
        <is>
          <t>E2E_ENVIRONMENT is in each product's csvSources (production covers all 20 products); pricing API reachable.</t>
        </is>
      </c>
      <c r="I67" s="17"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7" s="17"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7" s="17" t="inlineStr">
        <is>
          <t>quantity_method is inbetween-quantity, allowed_quantities bracket the CSV ladder exactly, and the quoted total equals the interpolation of the ROUNDED rung totals rounded to normalized_nr.</t>
        </is>
      </c>
      <c r="L67" s="29" t="inlineStr">
        <is>
          <t>Withdrawn</t>
        </is>
      </c>
      <c r="M67" s="17" t="inlineStr">
        <is>
          <t>Production-safe</t>
        </is>
      </c>
      <c r="N67" s="17" t="inlineStr">
        <is>
          <t>None (public read-only API). Runs only for products whose csvSources include the active environment; otherwise one skipped placeholder per product.</t>
        </is>
      </c>
      <c r="O67" s="17" t="inlineStr">
        <is>
          <t>-</t>
        </is>
      </c>
      <c r="P67" s="17" t="inlineStr">
        <is>
          <t>-</t>
        </is>
      </c>
      <c r="Q67" s="17" t="inlineStr">
        <is>
          <t>-</t>
        </is>
      </c>
      <c r="R67" s="29" t="n">
        <v>0</v>
      </c>
      <c r="S67"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7" s="30" t="inlineStr">
        <is>
          <t>N/A</t>
        </is>
      </c>
      <c r="U67" s="31" t="n"/>
      <c r="V67" s="31" t="n"/>
      <c r="W67" s="31" t="n"/>
      <c r="X67" s="31" t="n"/>
      <c r="Y67" s="17" t="n"/>
    </row>
    <row r="68" ht="150" customHeight="1">
      <c r="A68" s="16" t="inlineStr">
        <is>
          <t>MS-PRC-INT-SHAPE</t>
        </is>
      </c>
      <c r="B68" s="17" t="inlineStr">
        <is>
          <t>Storefront</t>
        </is>
      </c>
      <c r="C68" s="17" t="inlineStr">
        <is>
          <t>7. Pricing</t>
        </is>
      </c>
      <c r="D68" s="17" t="inlineStr">
        <is>
          <t>Price interpolation</t>
        </is>
      </c>
      <c r="E68" s="17" t="inlineStr">
        <is>
          <t>Two different width x height shapes with the same area are quoted the same price, proving the grid is keyed on area not shape.</t>
        </is>
      </c>
      <c r="F68" s="29" t="inlineStr">
        <is>
          <t>High</t>
        </is>
      </c>
      <c r="G68" s="17" t="inlineStr">
        <is>
          <t>Functional</t>
        </is>
      </c>
      <c r="H68" s="17" t="inlineStr">
        <is>
          <t>E2E_ENVIRONMENT is in each product's csvSources (production covers all 20 products); pricing API reachable.</t>
        </is>
      </c>
      <c r="I68" s="17"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8" s="17"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8" s="17" t="inlineStr">
        <is>
          <t>Both shapes return the identical quoted total. (Compared with each other, not the CSV, so this stays meaningful even if stored rates drift.)</t>
        </is>
      </c>
      <c r="L68" s="29" t="inlineStr">
        <is>
          <t>Withdrawn</t>
        </is>
      </c>
      <c r="M68" s="17" t="inlineStr">
        <is>
          <t>Production-safe</t>
        </is>
      </c>
      <c r="N68" s="17" t="inlineStr">
        <is>
          <t>None (public read-only API). Runs only for products whose csvSources include the active environment; otherwise one skipped placeholder per product.</t>
        </is>
      </c>
      <c r="O68" s="17" t="inlineStr">
        <is>
          <t>-</t>
        </is>
      </c>
      <c r="P68" s="17" t="inlineStr">
        <is>
          <t>-</t>
        </is>
      </c>
      <c r="Q68" s="17" t="inlineStr">
        <is>
          <t>-</t>
        </is>
      </c>
      <c r="R68" s="29" t="n">
        <v>0</v>
      </c>
      <c r="S68"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8" s="30" t="inlineStr">
        <is>
          <t>N/A</t>
        </is>
      </c>
      <c r="U68" s="31" t="n"/>
      <c r="V68" s="31" t="n"/>
      <c r="W68" s="31" t="n"/>
      <c r="X68" s="31" t="n"/>
      <c r="Y68" s="17" t="n"/>
    </row>
    <row r="69" ht="150" customHeight="1">
      <c r="A69" s="16" t="inlineStr">
        <is>
          <t>MS-PRC-MAP-1</t>
        </is>
      </c>
      <c r="B69" s="17" t="inlineStr">
        <is>
          <t>Storefront</t>
        </is>
      </c>
      <c r="C69" s="17" t="inlineStr">
        <is>
          <t>7. Pricing</t>
        </is>
      </c>
      <c r="D69" s="17" t="inlineStr">
        <is>
          <t>Product table mapping</t>
        </is>
      </c>
      <c r="E69" s="17" t="inlineStr">
        <is>
          <t>Each registered product slug is served by the pricing table id recorded for the active environment, with the right rounding step.</t>
        </is>
      </c>
      <c r="F69" s="29" t="inlineStr">
        <is>
          <t>Critical</t>
        </is>
      </c>
      <c r="G69" s="17" t="inlineStr">
        <is>
          <t>Integration</t>
        </is>
      </c>
      <c r="H69" s="17" t="inlineStr">
        <is>
          <t>A pricing table id is recorded for the active environment in pricing-products.ts; pricing API reachable (MAP-2 needs only the repo).</t>
        </is>
      </c>
      <c r="I69" s="17"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9" s="17"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9" s="17" t="inlineStr">
        <is>
          <t>Every slug resolves to its recorded table id and name, normalized_nr matches the registry, a quantity ladder is returned and every line total is a multiple of normalized_nr.</t>
        </is>
      </c>
      <c r="L69" s="29" t="inlineStr">
        <is>
          <t>Withdrawn</t>
        </is>
      </c>
      <c r="M69" s="17" t="inlineStr">
        <is>
          <t>Production-safe</t>
        </is>
      </c>
      <c r="N69" s="17" t="inlineStr">
        <is>
          <t>None (public read-only API). Runs on every environment with recorded pricing ids.</t>
        </is>
      </c>
      <c r="O69" s="17" t="inlineStr">
        <is>
          <t>-</t>
        </is>
      </c>
      <c r="P69" s="17" t="inlineStr">
        <is>
          <t>-</t>
        </is>
      </c>
      <c r="Q69" s="17" t="inlineStr">
        <is>
          <t>-</t>
        </is>
      </c>
      <c r="R69" s="29" t="n">
        <v>0</v>
      </c>
      <c r="S69"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9" s="30" t="inlineStr">
        <is>
          <t>N/A</t>
        </is>
      </c>
      <c r="U69" s="31" t="n"/>
      <c r="V69" s="31" t="n"/>
      <c r="W69" s="31" t="n"/>
      <c r="X69" s="31" t="n"/>
      <c r="Y69" s="17" t="n"/>
    </row>
    <row r="70" ht="150" customHeight="1">
      <c r="A70" s="16" t="inlineStr">
        <is>
          <t>MS-PRC-MAP-2</t>
        </is>
      </c>
      <c r="B70" s="17" t="inlineStr">
        <is>
          <t>Storefront</t>
        </is>
      </c>
      <c r="C70" s="17" t="inlineStr">
        <is>
          <t>7. Pricing</t>
        </is>
      </c>
      <c r="D70" s="17" t="inlineStr">
        <is>
          <t>Product table mapping</t>
        </is>
      </c>
      <c r="E70" s="17" t="inlineStr">
        <is>
          <t>Committed CSVs of products that the server prices from one shared table hold identical rates.</t>
        </is>
      </c>
      <c r="F70" s="29" t="inlineStr">
        <is>
          <t>High</t>
        </is>
      </c>
      <c r="G70" s="17" t="inlineStr">
        <is>
          <t>Data</t>
        </is>
      </c>
      <c r="H70" s="17" t="inlineStr">
        <is>
          <t>A pricing table id is recorded for the active environment in pricing-products.ts; pricing API reachable (MAP-2 needs only the repo).</t>
        </is>
      </c>
      <c r="I70" s="17"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70" s="17"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70" s="17" t="inlineStr">
        <is>
          <t>All CSVs in each shared-table group are identical; any divergent CSV is named in a soft assertion. Skips if fewer than two CSVs are committed.</t>
        </is>
      </c>
      <c r="L70" s="29" t="inlineStr">
        <is>
          <t>Withdrawn</t>
        </is>
      </c>
      <c r="M70" s="17" t="inlineStr">
        <is>
          <t>Production-safe</t>
        </is>
      </c>
      <c r="N70" s="17" t="inlineStr">
        <is>
          <t>None (public read-only API). Runs on every environment with recorded pricing ids.</t>
        </is>
      </c>
      <c r="O70" s="17" t="inlineStr">
        <is>
          <t>-</t>
        </is>
      </c>
      <c r="P70" s="17" t="inlineStr">
        <is>
          <t>-</t>
        </is>
      </c>
      <c r="Q70" s="17" t="inlineStr">
        <is>
          <t>-</t>
        </is>
      </c>
      <c r="R70" s="29" t="n">
        <v>0</v>
      </c>
      <c r="S70"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70" s="30" t="inlineStr">
        <is>
          <t>N/A</t>
        </is>
      </c>
      <c r="U70" s="31" t="n"/>
      <c r="V70" s="31" t="n"/>
      <c r="W70" s="31" t="n"/>
      <c r="X70" s="31" t="n"/>
      <c r="Y70" s="17" t="n"/>
    </row>
    <row r="71" ht="150" customHeight="1">
      <c r="A71" s="16" t="inlineStr">
        <is>
          <t>MS-PRC-MAP-3</t>
        </is>
      </c>
      <c r="B71" s="17" t="inlineStr">
        <is>
          <t>Storefront</t>
        </is>
      </c>
      <c r="C71" s="17" t="inlineStr">
        <is>
          <t>7. Pricing</t>
        </is>
      </c>
      <c r="D71" s="17" t="inlineStr">
        <is>
          <t>Product table mapping</t>
        </is>
      </c>
      <c r="E71" s="17" t="inlineStr">
        <is>
          <t>Products that share a pricing table id return byte-identical stored rows from the API.</t>
        </is>
      </c>
      <c r="F71" s="29" t="inlineStr">
        <is>
          <t>High</t>
        </is>
      </c>
      <c r="G71" s="17" t="inlineStr">
        <is>
          <t>Integration</t>
        </is>
      </c>
      <c r="H71" s="17" t="inlineStr">
        <is>
          <t>A pricing table id is recorded for the active environment in pricing-products.ts; pricing API reachable (MAP-2 needs only the repo).</t>
        </is>
      </c>
      <c r="I71" s="17"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71" s="17"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71" s="17" t="inlineStr">
        <is>
          <t>Every member reports the group pricing_id and exactly the same stored row as the reference product.</t>
        </is>
      </c>
      <c r="L71" s="29" t="inlineStr">
        <is>
          <t>Withdrawn</t>
        </is>
      </c>
      <c r="M71" s="17" t="inlineStr">
        <is>
          <t>Production-safe</t>
        </is>
      </c>
      <c r="N71" s="17" t="inlineStr">
        <is>
          <t>None (public read-only API). Runs on every environment with recorded pricing ids.</t>
        </is>
      </c>
      <c r="O71" s="17" t="inlineStr">
        <is>
          <t>-</t>
        </is>
      </c>
      <c r="P71" s="17" t="inlineStr">
        <is>
          <t>-</t>
        </is>
      </c>
      <c r="Q71" s="17" t="inlineStr">
        <is>
          <t>-</t>
        </is>
      </c>
      <c r="R71" s="29" t="n">
        <v>0</v>
      </c>
      <c r="S71"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30" t="inlineStr">
        <is>
          <t>N/A</t>
        </is>
      </c>
      <c r="U71" s="31" t="n"/>
      <c r="V71" s="31" t="n"/>
      <c r="W71" s="31" t="n"/>
      <c r="X71" s="31" t="n"/>
      <c r="Y71" s="17" t="n"/>
    </row>
    <row r="72" ht="150" customHeight="1">
      <c r="A72" s="16" t="inlineStr">
        <is>
          <t>MS-PRC-TBL-circle-roll</t>
        </is>
      </c>
      <c r="B72" s="17" t="inlineStr">
        <is>
          <t>Storefront</t>
        </is>
      </c>
      <c r="C72" s="17" t="inlineStr">
        <is>
          <t>7. Pricing</t>
        </is>
      </c>
      <c r="D72" s="17" t="inlineStr">
        <is>
          <t>Price table</t>
        </is>
      </c>
      <c r="E72" s="17" t="inlineStr">
        <is>
          <t>Every grid row of the circle-roll price table served by the pricing API matches the committed CSV cell for cell.</t>
        </is>
      </c>
      <c r="F72" s="29" t="inlineStr">
        <is>
          <t>High</t>
        </is>
      </c>
      <c r="G72" s="17" t="inlineStr">
        <is>
          <t>Data</t>
        </is>
      </c>
      <c r="H72" s="17" t="inlineStr">
        <is>
          <t>E2E_ENVIRONMENT is one of the csvSources for this product (production) and a pricing table id is recorded for it in pricing-products.ts (production=53, static-2=15). Pricing quotation API reachable (public, no auth).</t>
        </is>
      </c>
      <c r="I72" s="17"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17"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72"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72" s="29" t="inlineStr">
        <is>
          <t>Withdrawn</t>
        </is>
      </c>
      <c r="M72" s="17" t="inlineStr">
        <is>
          <t>Production-safe</t>
        </is>
      </c>
      <c r="N72" s="17" t="inlineStr">
        <is>
          <t>None (public read-only API). Cells compared only when E2E_ENVIRONMENT is in csvSources (production); otherwise one skipped placeholder test.</t>
        </is>
      </c>
      <c r="O72" s="17" t="inlineStr">
        <is>
          <t>-</t>
        </is>
      </c>
      <c r="P72" s="17" t="inlineStr">
        <is>
          <t>-</t>
        </is>
      </c>
      <c r="Q72" s="17" t="inlineStr">
        <is>
          <t>-</t>
        </is>
      </c>
      <c r="R72" s="29" t="n">
        <v>0</v>
      </c>
      <c r="S7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30" t="inlineStr">
        <is>
          <t>N/A</t>
        </is>
      </c>
      <c r="U72" s="31" t="n"/>
      <c r="V72" s="31" t="n"/>
      <c r="W72" s="31" t="n"/>
      <c r="X72" s="31" t="n"/>
      <c r="Y72" s="17" t="n"/>
    </row>
    <row r="73" ht="150" customHeight="1">
      <c r="A73" s="16" t="inlineStr">
        <is>
          <t>MS-PRC-TBL-circle-sticker</t>
        </is>
      </c>
      <c r="B73" s="17" t="inlineStr">
        <is>
          <t>Storefront</t>
        </is>
      </c>
      <c r="C73" s="17" t="inlineStr">
        <is>
          <t>7. Pricing</t>
        </is>
      </c>
      <c r="D73" s="17" t="inlineStr">
        <is>
          <t>Price table</t>
        </is>
      </c>
      <c r="E73" s="17" t="inlineStr">
        <is>
          <t>Every grid row of the circle-sticker price table served by the pricing API matches the committed CSV cell for cell.</t>
        </is>
      </c>
      <c r="F73" s="29" t="inlineStr">
        <is>
          <t>High</t>
        </is>
      </c>
      <c r="G73" s="17" t="inlineStr">
        <is>
          <t>Data</t>
        </is>
      </c>
      <c r="H73" s="17" t="inlineStr">
        <is>
          <t>E2E_ENVIRONMENT is one of the csvSources for this product (production) and a pricing table id is recorded for it in pricing-products.ts (production=48, static-1=51, static-2=25). Pricing quotation API reachable (public, no auth).</t>
        </is>
      </c>
      <c r="I73" s="17"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3" s="17"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73"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73" s="29" t="inlineStr">
        <is>
          <t>Withdrawn</t>
        </is>
      </c>
      <c r="M73" s="17" t="inlineStr">
        <is>
          <t>Production-safe</t>
        </is>
      </c>
      <c r="N73" s="17" t="inlineStr">
        <is>
          <t>None (public read-only API). Cells compared only when E2E_ENVIRONMENT is in csvSources (production); otherwise one skipped placeholder test.</t>
        </is>
      </c>
      <c r="O73" s="17" t="inlineStr">
        <is>
          <t>-</t>
        </is>
      </c>
      <c r="P73" s="17" t="inlineStr">
        <is>
          <t>-</t>
        </is>
      </c>
      <c r="Q73" s="17" t="inlineStr">
        <is>
          <t>-</t>
        </is>
      </c>
      <c r="R73" s="29" t="n">
        <v>0</v>
      </c>
      <c r="S7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3" s="30" t="inlineStr">
        <is>
          <t>N/A</t>
        </is>
      </c>
      <c r="U73" s="31" t="n"/>
      <c r="V73" s="31" t="n"/>
      <c r="W73" s="31" t="n"/>
      <c r="X73" s="31" t="n"/>
      <c r="Y73" s="17" t="n"/>
    </row>
    <row r="74" ht="150" customHeight="1">
      <c r="A74" s="16" t="inlineStr">
        <is>
          <t>MS-PRC-TBL-clear-roll</t>
        </is>
      </c>
      <c r="B74" s="17" t="inlineStr">
        <is>
          <t>Storefront</t>
        </is>
      </c>
      <c r="C74" s="17" t="inlineStr">
        <is>
          <t>7. Pricing</t>
        </is>
      </c>
      <c r="D74" s="17" t="inlineStr">
        <is>
          <t>Price table</t>
        </is>
      </c>
      <c r="E74" s="17" t="inlineStr">
        <is>
          <t>Every grid row of the clear-roll price table served by the pricing API matches the committed CSV cell for cell.</t>
        </is>
      </c>
      <c r="F74" s="29" t="inlineStr">
        <is>
          <t>High</t>
        </is>
      </c>
      <c r="G74" s="17" t="inlineStr">
        <is>
          <t>Data</t>
        </is>
      </c>
      <c r="H74" s="17" t="inlineStr">
        <is>
          <t>E2E_ENVIRONMENT is one of the csvSources for this product (production) and a pricing table id is recorded for it in pricing-products.ts (production=54, static-2=16). Pricing quotation API reachable (public, no auth).</t>
        </is>
      </c>
      <c r="I74" s="17"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4" s="17"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4" s="17"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4" s="29" t="inlineStr">
        <is>
          <t>Withdrawn</t>
        </is>
      </c>
      <c r="M74" s="17" t="inlineStr">
        <is>
          <t>Production-safe</t>
        </is>
      </c>
      <c r="N74" s="17" t="inlineStr">
        <is>
          <t>None (public read-only API). Cells compared only when E2E_ENVIRONMENT is in csvSources (production); otherwise one skipped placeholder test.</t>
        </is>
      </c>
      <c r="O74" s="17" t="inlineStr">
        <is>
          <t>-</t>
        </is>
      </c>
      <c r="P74" s="17" t="inlineStr">
        <is>
          <t>-</t>
        </is>
      </c>
      <c r="Q74" s="17" t="inlineStr">
        <is>
          <t>-</t>
        </is>
      </c>
      <c r="R74" s="29" t="n">
        <v>0</v>
      </c>
      <c r="S7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4" s="30" t="inlineStr">
        <is>
          <t>N/A</t>
        </is>
      </c>
      <c r="U74" s="31" t="n"/>
      <c r="V74" s="31" t="n"/>
      <c r="W74" s="31" t="n"/>
      <c r="X74" s="31" t="n"/>
      <c r="Y74" s="17" t="n"/>
    </row>
    <row r="75" ht="150" customHeight="1">
      <c r="A75" s="16" t="inlineStr">
        <is>
          <t>MS-PRC-TBL-clear-sticker</t>
        </is>
      </c>
      <c r="B75" s="17" t="inlineStr">
        <is>
          <t>Storefront</t>
        </is>
      </c>
      <c r="C75" s="17" t="inlineStr">
        <is>
          <t>7. Pricing</t>
        </is>
      </c>
      <c r="D75" s="17" t="inlineStr">
        <is>
          <t>Price table</t>
        </is>
      </c>
      <c r="E75" s="17" t="inlineStr">
        <is>
          <t>Every grid row of the clear-sticker price table served by the pricing API matches the committed CSV cell for cell.</t>
        </is>
      </c>
      <c r="F75" s="29" t="inlineStr">
        <is>
          <t>High</t>
        </is>
      </c>
      <c r="G75" s="17" t="inlineStr">
        <is>
          <t>Data</t>
        </is>
      </c>
      <c r="H75" s="17" t="inlineStr">
        <is>
          <t>E2E_ENVIRONMENT is one of the csvSources for this product (production) and a pricing table id is recorded for it in pricing-products.ts (production=49, static-1=54, static-2=30). Pricing quotation API reachable (public, no auth).</t>
        </is>
      </c>
      <c r="I75" s="17"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5" s="17"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5" s="17"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5" s="29" t="inlineStr">
        <is>
          <t>Withdrawn</t>
        </is>
      </c>
      <c r="M75" s="17" t="inlineStr">
        <is>
          <t>Production-safe</t>
        </is>
      </c>
      <c r="N75" s="17" t="inlineStr">
        <is>
          <t>None (public read-only API). Cells compared only when E2E_ENVIRONMENT is in csvSources (production); otherwise one skipped placeholder test.</t>
        </is>
      </c>
      <c r="O75" s="17" t="inlineStr">
        <is>
          <t>-</t>
        </is>
      </c>
      <c r="P75" s="17" t="inlineStr">
        <is>
          <t>-</t>
        </is>
      </c>
      <c r="Q75" s="17" t="inlineStr">
        <is>
          <t>-</t>
        </is>
      </c>
      <c r="R75" s="29" t="n">
        <v>0</v>
      </c>
      <c r="S7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5" s="30" t="inlineStr">
        <is>
          <t>N/A</t>
        </is>
      </c>
      <c r="U75" s="31" t="n"/>
      <c r="V75" s="31" t="n"/>
      <c r="W75" s="31" t="n"/>
      <c r="X75" s="31" t="n"/>
      <c r="Y75" s="17" t="n"/>
    </row>
    <row r="76" ht="150" customHeight="1">
      <c r="A76" s="16" t="inlineStr">
        <is>
          <t>MS-PRC-TBL-die-cut-roll</t>
        </is>
      </c>
      <c r="B76" s="17" t="inlineStr">
        <is>
          <t>Storefront</t>
        </is>
      </c>
      <c r="C76" s="17" t="inlineStr">
        <is>
          <t>7. Pricing</t>
        </is>
      </c>
      <c r="D76" s="17" t="inlineStr">
        <is>
          <t>Price table</t>
        </is>
      </c>
      <c r="E76" s="17" t="inlineStr">
        <is>
          <t>Every grid row of the die-cut-roll price table served by the pricing API matches the committed CSV cell for cell.</t>
        </is>
      </c>
      <c r="F76" s="29" t="inlineStr">
        <is>
          <t>High</t>
        </is>
      </c>
      <c r="G76" s="17" t="inlineStr">
        <is>
          <t>Data</t>
        </is>
      </c>
      <c r="H76" s="17" t="inlineStr">
        <is>
          <t>E2E_ENVIRONMENT is one of the csvSources for this product (production) and a pricing table id is recorded for it in pricing-products.ts (production=53, static-2=15). Pricing quotation API reachable (public, no auth).</t>
        </is>
      </c>
      <c r="I76" s="17"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17"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6"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6" s="29" t="inlineStr">
        <is>
          <t>Withdrawn</t>
        </is>
      </c>
      <c r="M76" s="17" t="inlineStr">
        <is>
          <t>Production-safe</t>
        </is>
      </c>
      <c r="N76" s="17" t="inlineStr">
        <is>
          <t>None (public read-only API). Cells compared only when E2E_ENVIRONMENT is in csvSources (production); otherwise one skipped placeholder test.</t>
        </is>
      </c>
      <c r="O76" s="17" t="inlineStr">
        <is>
          <t>-</t>
        </is>
      </c>
      <c r="P76" s="17" t="inlineStr">
        <is>
          <t>-</t>
        </is>
      </c>
      <c r="Q76" s="17" t="inlineStr">
        <is>
          <t>-</t>
        </is>
      </c>
      <c r="R76" s="29" t="n">
        <v>0</v>
      </c>
      <c r="S7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30" t="inlineStr">
        <is>
          <t>N/A</t>
        </is>
      </c>
      <c r="U76" s="31" t="n"/>
      <c r="V76" s="31" t="n"/>
      <c r="W76" s="31" t="n"/>
      <c r="X76" s="31" t="n"/>
      <c r="Y76" s="17" t="n"/>
    </row>
    <row r="77" ht="150" customHeight="1">
      <c r="A77" s="16" t="inlineStr">
        <is>
          <t>MS-PRC-TBL-die-cut-sticker</t>
        </is>
      </c>
      <c r="B77" s="17" t="inlineStr">
        <is>
          <t>Storefront</t>
        </is>
      </c>
      <c r="C77" s="17" t="inlineStr">
        <is>
          <t>7. Pricing</t>
        </is>
      </c>
      <c r="D77" s="17" t="inlineStr">
        <is>
          <t>Price table</t>
        </is>
      </c>
      <c r="E77" s="17" t="inlineStr">
        <is>
          <t>Every grid row of the die-cut-sticker price table served by the pricing API matches the committed CSV cell for cell.</t>
        </is>
      </c>
      <c r="F77" s="29" t="inlineStr">
        <is>
          <t>High</t>
        </is>
      </c>
      <c r="G77" s="17" t="inlineStr">
        <is>
          <t>Data</t>
        </is>
      </c>
      <c r="H77" s="17" t="inlineStr">
        <is>
          <t>E2E_ENVIRONMENT is one of the csvSources for this product (production) and a pricing table id is recorded for it in pricing-products.ts (production=48, static-1=51, static-2=5). Pricing quotation API reachable (public, no auth).</t>
        </is>
      </c>
      <c r="I77" s="17"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7" s="17"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7"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7" s="29" t="inlineStr">
        <is>
          <t>Withdrawn</t>
        </is>
      </c>
      <c r="M77" s="17" t="inlineStr">
        <is>
          <t>Production-safe</t>
        </is>
      </c>
      <c r="N77" s="17" t="inlineStr">
        <is>
          <t>None (public read-only API). Cells compared only when E2E_ENVIRONMENT is in csvSources (production); otherwise one skipped placeholder test.</t>
        </is>
      </c>
      <c r="O77" s="17" t="inlineStr">
        <is>
          <t>-</t>
        </is>
      </c>
      <c r="P77" s="17" t="inlineStr">
        <is>
          <t>-</t>
        </is>
      </c>
      <c r="Q77" s="17" t="inlineStr">
        <is>
          <t>-</t>
        </is>
      </c>
      <c r="R77" s="29" t="n">
        <v>0</v>
      </c>
      <c r="S7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7" s="30" t="inlineStr">
        <is>
          <t>N/A</t>
        </is>
      </c>
      <c r="U77" s="31" t="n"/>
      <c r="V77" s="31" t="n"/>
      <c r="W77" s="31" t="n"/>
      <c r="X77" s="31" t="n"/>
      <c r="Y77" s="17" t="n"/>
    </row>
    <row r="78" ht="150" customHeight="1">
      <c r="A78" s="16" t="inlineStr">
        <is>
          <t>MS-PRC-TBL-hologram-sticker</t>
        </is>
      </c>
      <c r="B78" s="17" t="inlineStr">
        <is>
          <t>Storefront</t>
        </is>
      </c>
      <c r="C78" s="17" t="inlineStr">
        <is>
          <t>7. Pricing</t>
        </is>
      </c>
      <c r="D78" s="17" t="inlineStr">
        <is>
          <t>Price table</t>
        </is>
      </c>
      <c r="E78" s="17" t="inlineStr">
        <is>
          <t>Every grid row of the hologram-sticker price table served by the pricing API matches the committed CSV cell for cell.</t>
        </is>
      </c>
      <c r="F78" s="29" t="inlineStr">
        <is>
          <t>High</t>
        </is>
      </c>
      <c r="G78" s="17" t="inlineStr">
        <is>
          <t>Data</t>
        </is>
      </c>
      <c r="H78" s="17" t="inlineStr">
        <is>
          <t>E2E_ENVIRONMENT is one of the csvSources for this product (production) and a pricing table id is recorded for it in pricing-products.ts (production=50, static-1=54, static-2=31). Pricing quotation API reachable (public, no auth).</t>
        </is>
      </c>
      <c r="I78" s="17"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8" s="17"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8" s="17"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8" s="29" t="inlineStr">
        <is>
          <t>Withdrawn</t>
        </is>
      </c>
      <c r="M78" s="17" t="inlineStr">
        <is>
          <t>Production-safe</t>
        </is>
      </c>
      <c r="N78" s="17" t="inlineStr">
        <is>
          <t>None (public read-only API). Cells compared only when E2E_ENVIRONMENT is in csvSources (production); otherwise one skipped placeholder test.</t>
        </is>
      </c>
      <c r="O78" s="17" t="inlineStr">
        <is>
          <t>-</t>
        </is>
      </c>
      <c r="P78" s="17" t="inlineStr">
        <is>
          <t>-</t>
        </is>
      </c>
      <c r="Q78" s="17" t="inlineStr">
        <is>
          <t>-</t>
        </is>
      </c>
      <c r="R78" s="29" t="n">
        <v>0</v>
      </c>
      <c r="S7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8" s="30" t="inlineStr">
        <is>
          <t>N/A</t>
        </is>
      </c>
      <c r="U78" s="31" t="n"/>
      <c r="V78" s="31" t="n"/>
      <c r="W78" s="31" t="n"/>
      <c r="X78" s="31" t="n"/>
      <c r="Y78" s="17" t="n"/>
    </row>
    <row r="79" ht="150" customHeight="1">
      <c r="A79" s="16" t="inlineStr">
        <is>
          <t>MS-PRC-TBL-kiss-cut-sticker</t>
        </is>
      </c>
      <c r="B79" s="17" t="inlineStr">
        <is>
          <t>Storefront</t>
        </is>
      </c>
      <c r="C79" s="17" t="inlineStr">
        <is>
          <t>7. Pricing</t>
        </is>
      </c>
      <c r="D79" s="17" t="inlineStr">
        <is>
          <t>Price table</t>
        </is>
      </c>
      <c r="E79" s="17" t="inlineStr">
        <is>
          <t>Every grid row of the kiss-cut-sticker price table served by the pricing API matches the committed CSV cell for cell.</t>
        </is>
      </c>
      <c r="F79" s="29" t="inlineStr">
        <is>
          <t>High</t>
        </is>
      </c>
      <c r="G79" s="17" t="inlineStr">
        <is>
          <t>Data</t>
        </is>
      </c>
      <c r="H79" s="17" t="inlineStr">
        <is>
          <t>E2E_ENVIRONMENT is one of the csvSources for this product (production) and a pricing table id is recorded for it in pricing-products.ts (production=48, static-1=51, static-2=23). Pricing quotation API reachable (public, no auth).</t>
        </is>
      </c>
      <c r="I79" s="17"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9" s="17"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9"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9" s="29" t="inlineStr">
        <is>
          <t>Withdrawn</t>
        </is>
      </c>
      <c r="M79" s="17" t="inlineStr">
        <is>
          <t>Production-safe</t>
        </is>
      </c>
      <c r="N79" s="17" t="inlineStr">
        <is>
          <t>None (public read-only API). Cells compared only when E2E_ENVIRONMENT is in csvSources (production); otherwise one skipped placeholder test.</t>
        </is>
      </c>
      <c r="O79" s="17" t="inlineStr">
        <is>
          <t>-</t>
        </is>
      </c>
      <c r="P79" s="17" t="inlineStr">
        <is>
          <t>-</t>
        </is>
      </c>
      <c r="Q79" s="17" t="inlineStr">
        <is>
          <t>-</t>
        </is>
      </c>
      <c r="R79" s="29" t="n">
        <v>0</v>
      </c>
      <c r="S7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9" s="30" t="inlineStr">
        <is>
          <t>N/A</t>
        </is>
      </c>
      <c r="U79" s="31" t="n"/>
      <c r="V79" s="31" t="n"/>
      <c r="W79" s="31" t="n"/>
      <c r="X79" s="31" t="n"/>
      <c r="Y79" s="17" t="n"/>
    </row>
    <row r="80" ht="150" customHeight="1">
      <c r="A80" s="16" t="inlineStr">
        <is>
          <t>MS-PRC-TBL-oval-roll</t>
        </is>
      </c>
      <c r="B80" s="17" t="inlineStr">
        <is>
          <t>Storefront</t>
        </is>
      </c>
      <c r="C80" s="17" t="inlineStr">
        <is>
          <t>7. Pricing</t>
        </is>
      </c>
      <c r="D80" s="17" t="inlineStr">
        <is>
          <t>Price table</t>
        </is>
      </c>
      <c r="E80" s="17" t="inlineStr">
        <is>
          <t>Every grid row of the oval-roll price table served by the pricing API matches the committed CSV cell for cell.</t>
        </is>
      </c>
      <c r="F80" s="29" t="inlineStr">
        <is>
          <t>High</t>
        </is>
      </c>
      <c r="G80" s="17" t="inlineStr">
        <is>
          <t>Data</t>
        </is>
      </c>
      <c r="H80" s="17" t="inlineStr">
        <is>
          <t>E2E_ENVIRONMENT is one of the csvSources for this product (production) and a pricing table id is recorded for it in pricing-products.ts (production=53, static-2=15). Pricing quotation API reachable (public, no auth).</t>
        </is>
      </c>
      <c r="I80" s="17"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0" s="17"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80"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80" s="29" t="inlineStr">
        <is>
          <t>Withdrawn</t>
        </is>
      </c>
      <c r="M80" s="17" t="inlineStr">
        <is>
          <t>Production-safe</t>
        </is>
      </c>
      <c r="N80" s="17" t="inlineStr">
        <is>
          <t>None (public read-only API). Cells compared only when E2E_ENVIRONMENT is in csvSources (production); otherwise one skipped placeholder test.</t>
        </is>
      </c>
      <c r="O80" s="17" t="inlineStr">
        <is>
          <t>-</t>
        </is>
      </c>
      <c r="P80" s="17" t="inlineStr">
        <is>
          <t>-</t>
        </is>
      </c>
      <c r="Q80" s="17" t="inlineStr">
        <is>
          <t>-</t>
        </is>
      </c>
      <c r="R80" s="29" t="n">
        <v>0</v>
      </c>
      <c r="S8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0" s="30" t="inlineStr">
        <is>
          <t>N/A</t>
        </is>
      </c>
      <c r="U80" s="31" t="n"/>
      <c r="V80" s="31" t="n"/>
      <c r="W80" s="31" t="n"/>
      <c r="X80" s="31" t="n"/>
      <c r="Y80" s="17" t="n"/>
    </row>
    <row r="81" ht="150" customHeight="1">
      <c r="A81" s="16" t="inlineStr">
        <is>
          <t>MS-PRC-TBL-oval-sticker</t>
        </is>
      </c>
      <c r="B81" s="17" t="inlineStr">
        <is>
          <t>Storefront</t>
        </is>
      </c>
      <c r="C81" s="17" t="inlineStr">
        <is>
          <t>7. Pricing</t>
        </is>
      </c>
      <c r="D81" s="17" t="inlineStr">
        <is>
          <t>Price table</t>
        </is>
      </c>
      <c r="E81" s="17" t="inlineStr">
        <is>
          <t>Every grid row of the oval-sticker price table served by the pricing API matches the committed CSV cell for cell.</t>
        </is>
      </c>
      <c r="F81" s="29" t="inlineStr">
        <is>
          <t>High</t>
        </is>
      </c>
      <c r="G81" s="17" t="inlineStr">
        <is>
          <t>Data</t>
        </is>
      </c>
      <c r="H81" s="17" t="inlineStr">
        <is>
          <t>E2E_ENVIRONMENT is one of the csvSources for this product (production) and a pricing table id is recorded for it in pricing-products.ts (production=48, static-1=51, static-2=25). Pricing quotation API reachable (public, no auth).</t>
        </is>
      </c>
      <c r="I81" s="17"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1" s="17"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81"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81" s="29" t="inlineStr">
        <is>
          <t>Withdrawn</t>
        </is>
      </c>
      <c r="M81" s="17" t="inlineStr">
        <is>
          <t>Production-safe</t>
        </is>
      </c>
      <c r="N81" s="17" t="inlineStr">
        <is>
          <t>None (public read-only API). Cells compared only when E2E_ENVIRONMENT is in csvSources (production); otherwise one skipped placeholder test.</t>
        </is>
      </c>
      <c r="O81" s="17" t="inlineStr">
        <is>
          <t>-</t>
        </is>
      </c>
      <c r="P81" s="17" t="inlineStr">
        <is>
          <t>-</t>
        </is>
      </c>
      <c r="Q81" s="17" t="inlineStr">
        <is>
          <t>-</t>
        </is>
      </c>
      <c r="R81" s="29" t="n">
        <v>0</v>
      </c>
      <c r="S8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1" s="30" t="inlineStr">
        <is>
          <t>N/A</t>
        </is>
      </c>
      <c r="U81" s="31" t="n"/>
      <c r="V81" s="31" t="n"/>
      <c r="W81" s="31" t="n"/>
      <c r="X81" s="31" t="n"/>
      <c r="Y81" s="17" t="n"/>
    </row>
    <row r="82" ht="150" customHeight="1">
      <c r="A82" s="16" t="inlineStr">
        <is>
          <t>MS-PRC-TBL-paper-roll</t>
        </is>
      </c>
      <c r="B82" s="17" t="inlineStr">
        <is>
          <t>Storefront</t>
        </is>
      </c>
      <c r="C82" s="17" t="inlineStr">
        <is>
          <t>7. Pricing</t>
        </is>
      </c>
      <c r="D82" s="17" t="inlineStr">
        <is>
          <t>Price table</t>
        </is>
      </c>
      <c r="E82" s="17" t="inlineStr">
        <is>
          <t>Every grid row of the paper-roll price table served by the pricing API matches the committed CSV cell for cell.</t>
        </is>
      </c>
      <c r="F82" s="29" t="inlineStr">
        <is>
          <t>High</t>
        </is>
      </c>
      <c r="G82" s="17" t="inlineStr">
        <is>
          <t>Data</t>
        </is>
      </c>
      <c r="H82" s="17" t="inlineStr">
        <is>
          <t>E2E_ENVIRONMENT is one of the csvSources for this product (production) and a pricing table id is recorded for it in pricing-products.ts (production=55, static-2=17). Pricing quotation API reachable (public, no auth).</t>
        </is>
      </c>
      <c r="I82" s="17"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82" s="17"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82" s="17"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82" s="29" t="inlineStr">
        <is>
          <t>Withdrawn</t>
        </is>
      </c>
      <c r="M82" s="17" t="inlineStr">
        <is>
          <t>Production-safe</t>
        </is>
      </c>
      <c r="N82" s="17" t="inlineStr">
        <is>
          <t>None (public read-only API). Cells compared only when E2E_ENVIRONMENT is in csvSources (production); otherwise one skipped placeholder test.</t>
        </is>
      </c>
      <c r="O82" s="17" t="inlineStr">
        <is>
          <t>-</t>
        </is>
      </c>
      <c r="P82" s="17" t="inlineStr">
        <is>
          <t>-</t>
        </is>
      </c>
      <c r="Q82" s="17" t="inlineStr">
        <is>
          <t>-</t>
        </is>
      </c>
      <c r="R82" s="29" t="n">
        <v>0</v>
      </c>
      <c r="S8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2" s="30" t="inlineStr">
        <is>
          <t>N/A</t>
        </is>
      </c>
      <c r="U82" s="31" t="n"/>
      <c r="V82" s="31" t="n"/>
      <c r="W82" s="31" t="n"/>
      <c r="X82" s="31" t="n"/>
      <c r="Y82" s="17" t="n"/>
    </row>
    <row r="83" ht="150" customHeight="1">
      <c r="A83" s="16" t="inlineStr">
        <is>
          <t>MS-PRC-TBL-rectangle-roll</t>
        </is>
      </c>
      <c r="B83" s="17" t="inlineStr">
        <is>
          <t>Storefront</t>
        </is>
      </c>
      <c r="C83" s="17" t="inlineStr">
        <is>
          <t>7. Pricing</t>
        </is>
      </c>
      <c r="D83" s="17" t="inlineStr">
        <is>
          <t>Price table</t>
        </is>
      </c>
      <c r="E83" s="17" t="inlineStr">
        <is>
          <t>Every grid row of the rectangle-roll price table served by the pricing API matches the committed CSV cell for cell.</t>
        </is>
      </c>
      <c r="F83" s="29" t="inlineStr">
        <is>
          <t>High</t>
        </is>
      </c>
      <c r="G83" s="17" t="inlineStr">
        <is>
          <t>Data</t>
        </is>
      </c>
      <c r="H83" s="17" t="inlineStr">
        <is>
          <t>E2E_ENVIRONMENT is one of the csvSources for this product (production) and a pricing table id is recorded for it in pricing-products.ts (production=53, static-2=15). Pricing quotation API reachable (public, no auth).</t>
        </is>
      </c>
      <c r="I83" s="17"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17"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83"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83" s="29" t="inlineStr">
        <is>
          <t>Withdrawn</t>
        </is>
      </c>
      <c r="M83" s="17" t="inlineStr">
        <is>
          <t>Production-safe</t>
        </is>
      </c>
      <c r="N83" s="17" t="inlineStr">
        <is>
          <t>None (public read-only API). Cells compared only when E2E_ENVIRONMENT is in csvSources (production); otherwise one skipped placeholder test.</t>
        </is>
      </c>
      <c r="O83" s="17" t="inlineStr">
        <is>
          <t>-</t>
        </is>
      </c>
      <c r="P83" s="17" t="inlineStr">
        <is>
          <t>-</t>
        </is>
      </c>
      <c r="Q83" s="17" t="inlineStr">
        <is>
          <t>-</t>
        </is>
      </c>
      <c r="R83" s="29" t="n">
        <v>0</v>
      </c>
      <c r="S8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30" t="inlineStr">
        <is>
          <t>N/A</t>
        </is>
      </c>
      <c r="U83" s="31" t="n"/>
      <c r="V83" s="31" t="n"/>
      <c r="W83" s="31" t="n"/>
      <c r="X83" s="31" t="n"/>
      <c r="Y83" s="17" t="n"/>
    </row>
    <row r="84" ht="150" customHeight="1">
      <c r="A84" s="16" t="inlineStr">
        <is>
          <t>MS-PRC-TBL-rectangle-sticker</t>
        </is>
      </c>
      <c r="B84" s="17" t="inlineStr">
        <is>
          <t>Storefront</t>
        </is>
      </c>
      <c r="C84" s="17" t="inlineStr">
        <is>
          <t>7. Pricing</t>
        </is>
      </c>
      <c r="D84" s="17" t="inlineStr">
        <is>
          <t>Price table</t>
        </is>
      </c>
      <c r="E84" s="17" t="inlineStr">
        <is>
          <t>Every grid row of the rectangle-sticker price table served by the pricing API matches the committed CSV cell for cell.</t>
        </is>
      </c>
      <c r="F84" s="29" t="inlineStr">
        <is>
          <t>High</t>
        </is>
      </c>
      <c r="G84" s="17" t="inlineStr">
        <is>
          <t>Data</t>
        </is>
      </c>
      <c r="H84" s="17" t="inlineStr">
        <is>
          <t>E2E_ENVIRONMENT is one of the csvSources for this product (production) and a pricing table id is recorded for it in pricing-products.ts (production=48, static-1=51, static-2=25). Pricing quotation API reachable (public, no auth).</t>
        </is>
      </c>
      <c r="I84" s="17"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17"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4"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4" s="29" t="inlineStr">
        <is>
          <t>Withdrawn</t>
        </is>
      </c>
      <c r="M84" s="17" t="inlineStr">
        <is>
          <t>Production-safe</t>
        </is>
      </c>
      <c r="N84" s="17" t="inlineStr">
        <is>
          <t>None (public read-only API). Cells compared only when E2E_ENVIRONMENT is in csvSources (production); otherwise one skipped placeholder test.</t>
        </is>
      </c>
      <c r="O84" s="17" t="inlineStr">
        <is>
          <t>-</t>
        </is>
      </c>
      <c r="P84" s="17" t="inlineStr">
        <is>
          <t>-</t>
        </is>
      </c>
      <c r="Q84" s="17" t="inlineStr">
        <is>
          <t>-</t>
        </is>
      </c>
      <c r="R84" s="29" t="n">
        <v>0</v>
      </c>
      <c r="S8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30" t="inlineStr">
        <is>
          <t>N/A</t>
        </is>
      </c>
      <c r="U84" s="31" t="n"/>
      <c r="V84" s="31" t="n"/>
      <c r="W84" s="31" t="n"/>
      <c r="X84" s="31" t="n"/>
      <c r="Y84" s="17" t="n"/>
    </row>
    <row r="85" ht="150" customHeight="1">
      <c r="A85" s="16" t="inlineStr">
        <is>
          <t>MS-PRC-TBL-rounded-roll</t>
        </is>
      </c>
      <c r="B85" s="17" t="inlineStr">
        <is>
          <t>Storefront</t>
        </is>
      </c>
      <c r="C85" s="17" t="inlineStr">
        <is>
          <t>7. Pricing</t>
        </is>
      </c>
      <c r="D85" s="17" t="inlineStr">
        <is>
          <t>Price table</t>
        </is>
      </c>
      <c r="E85" s="17" t="inlineStr">
        <is>
          <t>Every grid row of the rounded-roll price table served by the pricing API matches the committed CSV cell for cell.</t>
        </is>
      </c>
      <c r="F85" s="29" t="inlineStr">
        <is>
          <t>High</t>
        </is>
      </c>
      <c r="G85" s="17" t="inlineStr">
        <is>
          <t>Data</t>
        </is>
      </c>
      <c r="H85" s="17" t="inlineStr">
        <is>
          <t>E2E_ENVIRONMENT is one of the csvSources for this product (production) and a pricing table id is recorded for it in pricing-products.ts (production=53, static-2=15). Pricing quotation API reachable (public, no auth).</t>
        </is>
      </c>
      <c r="I85" s="17"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5" s="17"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5"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5" s="29" t="inlineStr">
        <is>
          <t>Withdrawn</t>
        </is>
      </c>
      <c r="M85" s="17" t="inlineStr">
        <is>
          <t>Production-safe</t>
        </is>
      </c>
      <c r="N85" s="17" t="inlineStr">
        <is>
          <t>None (public read-only API). Cells compared only when E2E_ENVIRONMENT is in csvSources (production); otherwise one skipped placeholder test.</t>
        </is>
      </c>
      <c r="O85" s="17" t="inlineStr">
        <is>
          <t>-</t>
        </is>
      </c>
      <c r="P85" s="17" t="inlineStr">
        <is>
          <t>-</t>
        </is>
      </c>
      <c r="Q85" s="17" t="inlineStr">
        <is>
          <t>-</t>
        </is>
      </c>
      <c r="R85" s="29" t="n">
        <v>0</v>
      </c>
      <c r="S8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5" s="30" t="inlineStr">
        <is>
          <t>N/A</t>
        </is>
      </c>
      <c r="U85" s="31" t="n"/>
      <c r="V85" s="31" t="n"/>
      <c r="W85" s="31" t="n"/>
      <c r="X85" s="31" t="n"/>
      <c r="Y85" s="17" t="n"/>
    </row>
    <row r="86" ht="150" customHeight="1">
      <c r="A86" s="16" t="inlineStr">
        <is>
          <t>MS-PRC-TBL-rounded-sticker</t>
        </is>
      </c>
      <c r="B86" s="17" t="inlineStr">
        <is>
          <t>Storefront</t>
        </is>
      </c>
      <c r="C86" s="17" t="inlineStr">
        <is>
          <t>7. Pricing</t>
        </is>
      </c>
      <c r="D86" s="17" t="inlineStr">
        <is>
          <t>Price table</t>
        </is>
      </c>
      <c r="E86" s="17" t="inlineStr">
        <is>
          <t>Every grid row of the rounded-sticker price table served by the pricing API matches the committed CSV cell for cell.</t>
        </is>
      </c>
      <c r="F86" s="29" t="inlineStr">
        <is>
          <t>High</t>
        </is>
      </c>
      <c r="G86" s="17" t="inlineStr">
        <is>
          <t>Data</t>
        </is>
      </c>
      <c r="H86" s="17" t="inlineStr">
        <is>
          <t>E2E_ENVIRONMENT is one of the csvSources for this product (production) and a pricing table id is recorded for it in pricing-products.ts (production=48, static-1=51, static-2=25). Pricing quotation API reachable (public, no auth).</t>
        </is>
      </c>
      <c r="I86" s="17"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6" s="17"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6"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6" s="29" t="inlineStr">
        <is>
          <t>Withdrawn</t>
        </is>
      </c>
      <c r="M86" s="17" t="inlineStr">
        <is>
          <t>Production-safe</t>
        </is>
      </c>
      <c r="N86" s="17" t="inlineStr">
        <is>
          <t>None (public read-only API). Cells compared only when E2E_ENVIRONMENT is in csvSources (production); otherwise one skipped placeholder test.</t>
        </is>
      </c>
      <c r="O86" s="17" t="inlineStr">
        <is>
          <t>-</t>
        </is>
      </c>
      <c r="P86" s="17" t="inlineStr">
        <is>
          <t>-</t>
        </is>
      </c>
      <c r="Q86" s="17" t="inlineStr">
        <is>
          <t>-</t>
        </is>
      </c>
      <c r="R86" s="29" t="n">
        <v>0</v>
      </c>
      <c r="S8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6" s="30" t="inlineStr">
        <is>
          <t>N/A</t>
        </is>
      </c>
      <c r="U86" s="31" t="n"/>
      <c r="V86" s="31" t="n"/>
      <c r="W86" s="31" t="n"/>
      <c r="X86" s="31" t="n"/>
      <c r="Y86" s="17" t="n"/>
    </row>
    <row r="87" ht="150" customHeight="1">
      <c r="A87" s="16" t="inlineStr">
        <is>
          <t>MS-PRC-TBL-square-roll</t>
        </is>
      </c>
      <c r="B87" s="17" t="inlineStr">
        <is>
          <t>Storefront</t>
        </is>
      </c>
      <c r="C87" s="17" t="inlineStr">
        <is>
          <t>7. Pricing</t>
        </is>
      </c>
      <c r="D87" s="17" t="inlineStr">
        <is>
          <t>Price table</t>
        </is>
      </c>
      <c r="E87" s="17" t="inlineStr">
        <is>
          <t>Every grid row of the square-roll price table served by the pricing API matches the committed CSV cell for cell.</t>
        </is>
      </c>
      <c r="F87" s="29" t="inlineStr">
        <is>
          <t>High</t>
        </is>
      </c>
      <c r="G87" s="17" t="inlineStr">
        <is>
          <t>Data</t>
        </is>
      </c>
      <c r="H87" s="17" t="inlineStr">
        <is>
          <t>E2E_ENVIRONMENT is one of the csvSources for this product (production) and a pricing table id is recorded for it in pricing-products.ts (production=53, static-2=15). Pricing quotation API reachable (public, no auth).</t>
        </is>
      </c>
      <c r="I87" s="17"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7" s="17"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7"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7" s="29" t="inlineStr">
        <is>
          <t>Withdrawn</t>
        </is>
      </c>
      <c r="M87" s="17" t="inlineStr">
        <is>
          <t>Production-safe</t>
        </is>
      </c>
      <c r="N87" s="17" t="inlineStr">
        <is>
          <t>None (public read-only API). Cells compared only when E2E_ENVIRONMENT is in csvSources (production); otherwise one skipped placeholder test.</t>
        </is>
      </c>
      <c r="O87" s="17" t="inlineStr">
        <is>
          <t>-</t>
        </is>
      </c>
      <c r="P87" s="17" t="inlineStr">
        <is>
          <t>-</t>
        </is>
      </c>
      <c r="Q87" s="17" t="inlineStr">
        <is>
          <t>-</t>
        </is>
      </c>
      <c r="R87" s="29" t="n">
        <v>0</v>
      </c>
      <c r="S8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7" s="30" t="inlineStr">
        <is>
          <t>N/A</t>
        </is>
      </c>
      <c r="U87" s="31" t="n"/>
      <c r="V87" s="31" t="n"/>
      <c r="W87" s="31" t="n"/>
      <c r="X87" s="31" t="n"/>
      <c r="Y87" s="17" t="n"/>
    </row>
    <row r="88" ht="150" customHeight="1">
      <c r="A88" s="16" t="inlineStr">
        <is>
          <t>MS-PRC-TBL-square-sticker</t>
        </is>
      </c>
      <c r="B88" s="17" t="inlineStr">
        <is>
          <t>Storefront</t>
        </is>
      </c>
      <c r="C88" s="17" t="inlineStr">
        <is>
          <t>7. Pricing</t>
        </is>
      </c>
      <c r="D88" s="17" t="inlineStr">
        <is>
          <t>Price table</t>
        </is>
      </c>
      <c r="E88" s="17" t="inlineStr">
        <is>
          <t>Every grid row of the square-sticker price table served by the pricing API matches the committed CSV cell for cell.</t>
        </is>
      </c>
      <c r="F88" s="29" t="inlineStr">
        <is>
          <t>High</t>
        </is>
      </c>
      <c r="G88" s="17" t="inlineStr">
        <is>
          <t>Data</t>
        </is>
      </c>
      <c r="H88" s="17" t="inlineStr">
        <is>
          <t>E2E_ENVIRONMENT is one of the csvSources for this product (production) and a pricing table id is recorded for it in pricing-products.ts (production=48, static-1=51, static-2=25). Pricing quotation API reachable (public, no auth).</t>
        </is>
      </c>
      <c r="I88" s="17"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8" s="17"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8"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8" s="29" t="inlineStr">
        <is>
          <t>Withdrawn</t>
        </is>
      </c>
      <c r="M88" s="17" t="inlineStr">
        <is>
          <t>Production-safe</t>
        </is>
      </c>
      <c r="N88" s="17" t="inlineStr">
        <is>
          <t>None (public read-only API). Cells compared only when E2E_ENVIRONMENT is in csvSources (production); otherwise one skipped placeholder test.</t>
        </is>
      </c>
      <c r="O88" s="17" t="inlineStr">
        <is>
          <t>-</t>
        </is>
      </c>
      <c r="P88" s="17" t="inlineStr">
        <is>
          <t>-</t>
        </is>
      </c>
      <c r="Q88" s="17" t="inlineStr">
        <is>
          <t>-</t>
        </is>
      </c>
      <c r="R88" s="29" t="n">
        <v>0</v>
      </c>
      <c r="S8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8" s="30" t="inlineStr">
        <is>
          <t>N/A</t>
        </is>
      </c>
      <c r="U88" s="31" t="n"/>
      <c r="V88" s="31" t="n"/>
      <c r="W88" s="31" t="n"/>
      <c r="X88" s="31" t="n"/>
      <c r="Y88" s="17" t="n"/>
    </row>
    <row r="89" ht="150" customHeight="1">
      <c r="A89" s="16" t="inlineStr">
        <is>
          <t>MS-PRC-TBL-sticker-sheet</t>
        </is>
      </c>
      <c r="B89" s="17" t="inlineStr">
        <is>
          <t>Storefront</t>
        </is>
      </c>
      <c r="C89" s="17" t="inlineStr">
        <is>
          <t>7. Pricing</t>
        </is>
      </c>
      <c r="D89" s="17" t="inlineStr">
        <is>
          <t>Price table</t>
        </is>
      </c>
      <c r="E89" s="17" t="inlineStr">
        <is>
          <t>Every grid row of the sticker-sheet price table served by the pricing API matches the committed CSV cell for cell.</t>
        </is>
      </c>
      <c r="F89" s="29" t="inlineStr">
        <is>
          <t>High</t>
        </is>
      </c>
      <c r="G89" s="17" t="inlineStr">
        <is>
          <t>Data</t>
        </is>
      </c>
      <c r="H89" s="17" t="inlineStr">
        <is>
          <t>E2E_ENVIRONMENT is one of the csvSources for this product (production, static-2) and a pricing table id is recorded for it in pricing-products.ts (production=33, static-2=34). Pricing quotation API reachable (public, no auth).</t>
        </is>
      </c>
      <c r="I89" s="17"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9" s="17"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9" s="17"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9" s="29" t="inlineStr">
        <is>
          <t>Withdrawn</t>
        </is>
      </c>
      <c r="M89" s="17" t="inlineStr">
        <is>
          <t>Production-safe</t>
        </is>
      </c>
      <c r="N89" s="17" t="inlineStr">
        <is>
          <t>None (public read-only API). Cells compared only when E2E_ENVIRONMENT is in csvSources (production, static-2); otherwise one skipped placeholder test.</t>
        </is>
      </c>
      <c r="O89" s="17" t="inlineStr">
        <is>
          <t>-</t>
        </is>
      </c>
      <c r="P89" s="17" t="inlineStr">
        <is>
          <t>-</t>
        </is>
      </c>
      <c r="Q89" s="17" t="inlineStr">
        <is>
          <t>-</t>
        </is>
      </c>
      <c r="R89" s="29" t="n">
        <v>0</v>
      </c>
      <c r="S8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9" s="30" t="inlineStr">
        <is>
          <t>N/A</t>
        </is>
      </c>
      <c r="U89" s="31" t="n"/>
      <c r="V89" s="31" t="n"/>
      <c r="W89" s="31" t="n"/>
      <c r="X89" s="31" t="n"/>
      <c r="Y89" s="17" t="n"/>
    </row>
    <row r="90" ht="150" customHeight="1">
      <c r="A90" s="16" t="inlineStr">
        <is>
          <t>MS-PRC-TBL-transfer-sticker</t>
        </is>
      </c>
      <c r="B90" s="17" t="inlineStr">
        <is>
          <t>Storefront</t>
        </is>
      </c>
      <c r="C90" s="17" t="inlineStr">
        <is>
          <t>7. Pricing</t>
        </is>
      </c>
      <c r="D90" s="17" t="inlineStr">
        <is>
          <t>Price table</t>
        </is>
      </c>
      <c r="E90" s="17" t="inlineStr">
        <is>
          <t>Every grid row of the transfer-sticker price table served by the pricing API matches the committed CSV cell for cell.</t>
        </is>
      </c>
      <c r="F90" s="29" t="inlineStr">
        <is>
          <t>High</t>
        </is>
      </c>
      <c r="G90" s="17" t="inlineStr">
        <is>
          <t>Data</t>
        </is>
      </c>
      <c r="H90" s="17" t="inlineStr">
        <is>
          <t>E2E_ENVIRONMENT is one of the csvSources for this product (production) and a pricing table id is recorded for it in pricing-products.ts (production=72, static-2=11). Pricing quotation API reachable (public, no auth).</t>
        </is>
      </c>
      <c r="I90" s="17"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90" s="17"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90" s="17"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90" s="29" t="inlineStr">
        <is>
          <t>Withdrawn</t>
        </is>
      </c>
      <c r="M90" s="17" t="inlineStr">
        <is>
          <t>Production-safe</t>
        </is>
      </c>
      <c r="N90" s="17" t="inlineStr">
        <is>
          <t>None (public read-only API). Cells compared only when E2E_ENVIRONMENT is in csvSources (production); otherwise one skipped placeholder test.</t>
        </is>
      </c>
      <c r="O90" s="17" t="inlineStr">
        <is>
          <t>-</t>
        </is>
      </c>
      <c r="P90" s="17" t="inlineStr">
        <is>
          <t>-</t>
        </is>
      </c>
      <c r="Q90" s="17" t="inlineStr">
        <is>
          <t>-</t>
        </is>
      </c>
      <c r="R90" s="29" t="n">
        <v>0</v>
      </c>
      <c r="S9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0" s="30" t="inlineStr">
        <is>
          <t>N/A</t>
        </is>
      </c>
      <c r="U90" s="31" t="n"/>
      <c r="V90" s="31" t="n"/>
      <c r="W90" s="31" t="n"/>
      <c r="X90" s="31" t="n"/>
      <c r="Y90" s="17" t="n"/>
    </row>
    <row r="91" ht="150" customHeight="1">
      <c r="A91" s="16" t="inlineStr">
        <is>
          <t>MS-PRC-TBL-vinyl-lettering</t>
        </is>
      </c>
      <c r="B91" s="17" t="inlineStr">
        <is>
          <t>Storefront</t>
        </is>
      </c>
      <c r="C91" s="17" t="inlineStr">
        <is>
          <t>7. Pricing</t>
        </is>
      </c>
      <c r="D91" s="17" t="inlineStr">
        <is>
          <t>Price table</t>
        </is>
      </c>
      <c r="E91" s="17" t="inlineStr">
        <is>
          <t>Every grid row of the vinyl-lettering price table served by the pricing API matches the committed CSV cell for cell.</t>
        </is>
      </c>
      <c r="F91" s="29" t="inlineStr">
        <is>
          <t>High</t>
        </is>
      </c>
      <c r="G91" s="17" t="inlineStr">
        <is>
          <t>Data</t>
        </is>
      </c>
      <c r="H91" s="17" t="inlineStr">
        <is>
          <t>E2E_ENVIRONMENT is one of the csvSources for this product (production) and a pricing table id is recorded for it in pricing-products.ts (production=69, static-2=8). Pricing quotation API reachable (public, no auth).</t>
        </is>
      </c>
      <c r="I91" s="17"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91" s="17"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91" s="17"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91" s="29" t="inlineStr">
        <is>
          <t>Withdrawn</t>
        </is>
      </c>
      <c r="M91" s="17" t="inlineStr">
        <is>
          <t>Production-safe</t>
        </is>
      </c>
      <c r="N91" s="17" t="inlineStr">
        <is>
          <t>None (public read-only API). Cells compared only when E2E_ENVIRONMENT is in csvSources (production); otherwise one skipped placeholder test.</t>
        </is>
      </c>
      <c r="O91" s="17" t="inlineStr">
        <is>
          <t>-</t>
        </is>
      </c>
      <c r="P91" s="17" t="inlineStr">
        <is>
          <t>-</t>
        </is>
      </c>
      <c r="Q91" s="17" t="inlineStr">
        <is>
          <t>-</t>
        </is>
      </c>
      <c r="R91" s="29" t="n">
        <v>0</v>
      </c>
      <c r="S9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1" s="30" t="inlineStr">
        <is>
          <t>N/A</t>
        </is>
      </c>
      <c r="U91" s="31" t="n"/>
      <c r="V91" s="31" t="n"/>
      <c r="W91" s="31" t="n"/>
      <c r="X91" s="31" t="n"/>
      <c r="Y91" s="17" t="n"/>
    </row>
    <row r="92" ht="150" customHeight="1">
      <c r="A92" s="12" t="inlineStr">
        <is>
          <t>MS-AUTH-001</t>
        </is>
      </c>
      <c r="B92" s="25" t="inlineStr">
        <is>
          <t>Storefront</t>
        </is>
      </c>
      <c r="C92" s="25" t="inlineStr">
        <is>
          <t>8. Sign-in &amp; registration</t>
        </is>
      </c>
      <c r="D92" s="25" t="inlineStr">
        <is>
          <t>Login</t>
        </is>
      </c>
      <c r="E92" s="25" t="inlineStr">
        <is>
          <t>The header account menu leads an anonymous visitor to the login page with all member login controls.</t>
        </is>
      </c>
      <c r="F92" s="13" t="inlineStr">
        <is>
          <t>Critical</t>
        </is>
      </c>
      <c r="G92" s="25" t="inlineStr">
        <is>
          <t>Navigation</t>
        </is>
      </c>
      <c r="H92" s="25" t="inlineStr">
        <is>
          <t>Anonymous session.</t>
        </is>
      </c>
      <c r="I92" s="25" t="inlineStr">
        <is>
          <t>None.</t>
        </is>
      </c>
      <c r="J92" s="25" t="inlineStr">
        <is>
          <t>1. Open the storefront home (/kr) and confirm the header shows logo, search, cart and account buttons.
2. Click the header account button to open the account menu.
3. Click the login entry in the menu.
4. Inspect the login page.</t>
        </is>
      </c>
      <c r="K92"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92" s="13" t="inlineStr">
        <is>
          <t>Automated</t>
        </is>
      </c>
      <c r="M92" s="25" t="inlineStr">
        <is>
          <t>Production-safe</t>
        </is>
      </c>
      <c r="N92" s="25" t="inlineStr">
        <is>
          <t>-</t>
        </is>
      </c>
      <c r="O92" s="25" t="inlineStr">
        <is>
          <t>tests/e2e/storefront/auth/login.spec.ts</t>
        </is>
      </c>
      <c r="P92" s="25" t="inlineStr">
        <is>
          <t>MS-AUTH-001 account navigation opens login</t>
        </is>
      </c>
      <c r="Q92" s="25" t="inlineStr">
        <is>
          <t>@auth @production</t>
        </is>
      </c>
      <c r="R92" s="13" t="n">
        <v>1</v>
      </c>
      <c r="S92" s="25" t="inlineStr">
        <is>
          <t>test-case.md lists this as @smoke; the spec does not carry @smoke, so smoke runs skip it. Social buttons are checked for visibility only, never clicked.</t>
        </is>
      </c>
      <c r="T92" s="14" t="inlineStr">
        <is>
          <t>Pass</t>
        </is>
      </c>
      <c r="U92" s="15" t="n"/>
      <c r="V92" s="15" t="inlineStr">
        <is>
          <t>Codex / Playwright</t>
        </is>
      </c>
      <c r="W92" s="15" t="inlineStr">
        <is>
          <t>2026-10-23</t>
        </is>
      </c>
      <c r="X92" s="15" t="inlineStr">
        <is>
          <t>dev-2; retries=0. Full desktop: 1 passed, 0 failed, 0 skipped. See Dev-2 Audit 2026-10-23.</t>
        </is>
      </c>
      <c r="Y92" s="25" t="inlineStr">
        <is>
          <t>MS-V2-026</t>
        </is>
      </c>
    </row>
    <row r="93" ht="150" customHeight="1">
      <c r="A93" s="12" t="inlineStr">
        <is>
          <t>MS-AUTH-002</t>
        </is>
      </c>
      <c r="B93" s="25" t="inlineStr">
        <is>
          <t>Storefront</t>
        </is>
      </c>
      <c r="C93" s="25" t="inlineStr">
        <is>
          <t>8. Sign-in &amp; registration</t>
        </is>
      </c>
      <c r="D93" s="25" t="inlineStr">
        <is>
          <t>Login</t>
        </is>
      </c>
      <c r="E93" s="25" t="inlineStr">
        <is>
          <t>The login page opened directly shows every member login control, with the password field masked.</t>
        </is>
      </c>
      <c r="F93" s="13" t="inlineStr">
        <is>
          <t>Critical</t>
        </is>
      </c>
      <c r="G93" s="25" t="inlineStr">
        <is>
          <t>UI</t>
        </is>
      </c>
      <c r="H93" s="25" t="inlineStr">
        <is>
          <t>Anonymous session.</t>
        </is>
      </c>
      <c r="I93" s="25" t="inlineStr">
        <is>
          <t>None.</t>
        </is>
      </c>
      <c r="J93" s="25" t="inlineStr">
        <is>
          <t>1. Open /kr/auth/login directly and wait for the page to become interactive.
2. Inspect the member login form (heading, mode buttons, email, password, toggle, keep-signed-in, forgot-password, submit).
3. Inspect the create-account link and the social login area.</t>
        </is>
      </c>
      <c r="K93"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93" s="13" t="inlineStr">
        <is>
          <t>Automated</t>
        </is>
      </c>
      <c r="M93" s="25" t="inlineStr">
        <is>
          <t>Production-safe</t>
        </is>
      </c>
      <c r="N93" s="25" t="inlineStr">
        <is>
          <t>-</t>
        </is>
      </c>
      <c r="O93" s="25" t="inlineStr">
        <is>
          <t>tests/e2e/storefront/auth/login.spec.ts</t>
        </is>
      </c>
      <c r="P93" s="25" t="inlineStr">
        <is>
          <t>MS-AUTH-002 member login form exposes expected controls</t>
        </is>
      </c>
      <c r="Q93" s="25" t="inlineStr">
        <is>
          <t>@auth @production @critical</t>
        </is>
      </c>
      <c r="R93" s="13" t="n">
        <v>1</v>
      </c>
      <c r="S93" s="25" t="inlineStr">
        <is>
          <t>test-case.md lists this as @smoke; the spec does not carry @smoke. Facebook login is located by the page object but not asserted.</t>
        </is>
      </c>
      <c r="T93" s="14" t="inlineStr">
        <is>
          <t>Fail</t>
        </is>
      </c>
      <c r="U93" s="15" t="inlineStr">
        <is>
          <t>MUS-QA-023</t>
        </is>
      </c>
      <c r="V93" s="15" t="inlineStr">
        <is>
          <t>Codex / Playwright</t>
        </is>
      </c>
      <c r="W93" s="15" t="inlineStr">
        <is>
          <t>2026-10-23</t>
        </is>
      </c>
      <c r="X93" s="15" t="inlineStr">
        <is>
          <t>dev-2; retries=0. Full desktop: 1 passed, 0 failed, 0 skipped; Cross-browser critical: 1 passed, 1 failed, 0 skipped. See Dev-2 Audit 2026-10-23.</t>
        </is>
      </c>
      <c r="Y93" s="25" t="inlineStr">
        <is>
          <t>MS-V2-027</t>
        </is>
      </c>
    </row>
    <row r="94" ht="150" customHeight="1">
      <c r="A94" s="12" t="inlineStr">
        <is>
          <t>MS-AUTH-003</t>
        </is>
      </c>
      <c r="B94" s="25" t="inlineStr">
        <is>
          <t>Storefront</t>
        </is>
      </c>
      <c r="C94" s="25" t="inlineStr">
        <is>
          <t>8. Sign-in &amp; registration</t>
        </is>
      </c>
      <c r="D94" s="25" t="inlineStr">
        <is>
          <t>Login</t>
        </is>
      </c>
      <c r="E94" s="25" t="inlineStr">
        <is>
          <t>Submitting the login form blank flags both fields as required without calling the login endpoint.</t>
        </is>
      </c>
      <c r="F94" s="13" t="inlineStr">
        <is>
          <t>Critical</t>
        </is>
      </c>
      <c r="G94" s="25" t="inlineStr">
        <is>
          <t>Validation</t>
        </is>
      </c>
      <c r="H94" s="25" t="inlineStr">
        <is>
          <t>Anonymous session.</t>
        </is>
      </c>
      <c r="I94" s="25" t="inlineStr">
        <is>
          <t>Email and password empty.</t>
        </is>
      </c>
      <c r="J94" s="25" t="inlineStr">
        <is>
          <t>1. Open /kr/auth/login.
2. Leave email and password empty.
3. Click the login submit button.</t>
        </is>
      </c>
      <c r="K94" s="25" t="inlineStr">
        <is>
          <t>필수 입력 항목입니다. is shown, and exactly 2 field errors (email and password) carry that text. No POST to /sys/kr/auth/login is sent. URL stays /kr/auth/login.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MS-AUTH-003 blank login is blocked before the auth endpoint is called @validation</t>
        </is>
      </c>
      <c r="Q94" s="25" t="inlineStr">
        <is>
          <t>@auth @production @validation</t>
        </is>
      </c>
      <c r="R94" s="13" t="n">
        <v>1</v>
      </c>
      <c r="S94" s="25" t="inlineStr">
        <is>
          <t>The login form's required text (필수 입력 항목입니다.) differs from the register form's (필수 항목입니다.).</t>
        </is>
      </c>
      <c r="T94" s="14" t="inlineStr">
        <is>
          <t>Pass</t>
        </is>
      </c>
      <c r="U94" s="15" t="n"/>
      <c r="V94" s="15" t="inlineStr">
        <is>
          <t>Codex / Playwright</t>
        </is>
      </c>
      <c r="W94" s="15" t="inlineStr">
        <is>
          <t>2026-10-23</t>
        </is>
      </c>
      <c r="X94" s="15" t="inlineStr">
        <is>
          <t>dev-2; retries=0. Full desktop: 1 passed, 0 failed, 0 skipped. See Dev-2 Audit 2026-10-23.</t>
        </is>
      </c>
      <c r="Y94" s="25" t="inlineStr">
        <is>
          <t>MS-V2-028</t>
        </is>
      </c>
    </row>
    <row r="95" ht="150" customHeight="1">
      <c r="A95" s="12" t="inlineStr">
        <is>
          <t>MS-AUTH-004</t>
        </is>
      </c>
      <c r="B95" s="25" t="inlineStr">
        <is>
          <t>Storefront</t>
        </is>
      </c>
      <c r="C95" s="25" t="inlineStr">
        <is>
          <t>8. Sign-in &amp; registration</t>
        </is>
      </c>
      <c r="D95" s="25" t="inlineStr">
        <is>
          <t>Login</t>
        </is>
      </c>
      <c r="E95" s="25" t="inlineStr">
        <is>
          <t>A malformed email on the login form is rejected client-side and the visitor stays anonymous.</t>
        </is>
      </c>
      <c r="F95" s="13" t="inlineStr">
        <is>
          <t>High</t>
        </is>
      </c>
      <c r="G95" s="25" t="inlineStr">
        <is>
          <t>Validation</t>
        </is>
      </c>
      <c r="H95" s="25" t="inlineStr">
        <is>
          <t>Anonymous session.</t>
        </is>
      </c>
      <c r="I95" s="25" t="inlineStr">
        <is>
          <t>Email: not-an-email. Password: Dummy!2026.</t>
        </is>
      </c>
      <c r="J95" s="25" t="inlineStr">
        <is>
          <t>1. Open /kr/auth/login.
2. Enter not-an-email as the email and Dummy!2026 as the password.
3. Click the login submit button.</t>
        </is>
      </c>
      <c r="K95" s="25" t="inlineStr">
        <is>
          <t>A field error reads 이메일 형식이 올바르지 않습니다. No POST to /sys/kr/auth/login is sent. URL stays /kr/auth/login and no member account dropdown exists. Suite guard: no unexpected console errors or HTTP 4xx/5xx.</t>
        </is>
      </c>
      <c r="L95" s="13" t="inlineStr">
        <is>
          <t>Automated</t>
        </is>
      </c>
      <c r="M95" s="25" t="inlineStr">
        <is>
          <t>Production-safe</t>
        </is>
      </c>
      <c r="N95" s="25" t="inlineStr">
        <is>
          <t>-</t>
        </is>
      </c>
      <c r="O95" s="25" t="inlineStr">
        <is>
          <t>tests/e2e/storefront/auth/login.spec.ts</t>
        </is>
      </c>
      <c r="P95" s="25" t="inlineStr">
        <is>
          <t>MS-AUTH-004 malformed email is rejected without starting an auth session @validation</t>
        </is>
      </c>
      <c r="Q95" s="25" t="inlineStr">
        <is>
          <t>@auth @production @validation</t>
        </is>
      </c>
      <c r="R95" s="13" t="n">
        <v>1</v>
      </c>
      <c r="S95" s="25" t="n"/>
      <c r="T95" s="14" t="inlineStr">
        <is>
          <t>Pass</t>
        </is>
      </c>
      <c r="U95" s="15" t="n"/>
      <c r="V95" s="15" t="inlineStr">
        <is>
          <t>Codex / Playwright</t>
        </is>
      </c>
      <c r="W95" s="15" t="inlineStr">
        <is>
          <t>2026-10-23</t>
        </is>
      </c>
      <c r="X95" s="15" t="inlineStr">
        <is>
          <t>dev-2; retries=0. Full desktop: 1 passed, 0 failed, 0 skipped. See Dev-2 Audit 2026-10-23.</t>
        </is>
      </c>
      <c r="Y95" s="25" t="inlineStr">
        <is>
          <t>MS-V2-029</t>
        </is>
      </c>
    </row>
    <row r="96" ht="150" customHeight="1">
      <c r="A96" s="12" t="inlineStr">
        <is>
          <t>MS-AUTH-005</t>
        </is>
      </c>
      <c r="B96" s="25" t="inlineStr">
        <is>
          <t>Storefront</t>
        </is>
      </c>
      <c r="C96" s="25" t="inlineStr">
        <is>
          <t>8. Sign-in &amp; registration</t>
        </is>
      </c>
      <c r="D96" s="25" t="inlineStr">
        <is>
          <t>Login</t>
        </is>
      </c>
      <c r="E96" s="25" t="inlineStr">
        <is>
          <t>Wrong credentials show a generic failure message, identical for unregistered and registered emails, and keep the visitor anonymous.</t>
        </is>
      </c>
      <c r="F96" s="13" t="inlineStr">
        <is>
          <t>Critical</t>
        </is>
      </c>
      <c r="G96" s="25" t="inlineStr">
        <is>
          <t>Security</t>
        </is>
      </c>
      <c r="H96" s="25" t="inlineStr">
        <is>
          <t>Anonymous session. The second half runs only when AUTH_TEST_EMAIL is set.</t>
        </is>
      </c>
      <c r="I96" s="25" t="inlineStr">
        <is>
          <t>Unregistered: invalid-login-e2e@example.com / WrongPass!2026. Registered (optional): AUTH_TEST_EMAIL / DefinitelyNotTheSeededPassword!9.</t>
        </is>
      </c>
      <c r="J96"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6"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6" s="13" t="inlineStr">
        <is>
          <t>Automated</t>
        </is>
      </c>
      <c r="M96" s="25" t="inlineStr">
        <is>
          <t>Production-safe</t>
        </is>
      </c>
      <c r="N96" s="25" t="inlineStr">
        <is>
          <t>- (optional AUTH_TEST_EMAIL enables the registered-email half)</t>
        </is>
      </c>
      <c r="O96" s="25" t="inlineStr">
        <is>
          <t>tests/e2e/storefront/auth/login.spec.ts</t>
        </is>
      </c>
      <c r="P96" s="25" t="inlineStr">
        <is>
          <t>MS-AUTH-005 invalid credentials fail safely and keep the user anonymous @validation</t>
        </is>
      </c>
      <c r="Q96" s="25" t="inlineStr">
        <is>
          <t>@auth @production @validation</t>
        </is>
      </c>
      <c r="R96" s="13" t="n">
        <v>1</v>
      </c>
      <c r="S96"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6" s="14" t="inlineStr">
        <is>
          <t>Fail</t>
        </is>
      </c>
      <c r="U96" s="15" t="inlineStr">
        <is>
          <t>MUS-QA-022</t>
        </is>
      </c>
      <c r="V96" s="15" t="inlineStr">
        <is>
          <t>Codex / Playwright</t>
        </is>
      </c>
      <c r="W96" s="15" t="inlineStr">
        <is>
          <t>2026-10-23</t>
        </is>
      </c>
      <c r="X96" s="15" t="inlineStr">
        <is>
          <t>dev-2; retries=0. Full desktop: 0 passed, 1 failed, 0 skipped; Focused replay: 0 passed, 1 failed, 0 skipped. See Dev-2 Audit 2026-10-23.</t>
        </is>
      </c>
      <c r="Y96" s="25" t="inlineStr">
        <is>
          <t>MS-V2-030</t>
        </is>
      </c>
    </row>
    <row r="97" ht="150" customHeight="1">
      <c r="A97" s="12" t="inlineStr">
        <is>
          <t>MS-AUTH-006</t>
        </is>
      </c>
      <c r="B97" s="25" t="inlineStr">
        <is>
          <t>Storefront</t>
        </is>
      </c>
      <c r="C97" s="25" t="inlineStr">
        <is>
          <t>8. Sign-in &amp; registration</t>
        </is>
      </c>
      <c r="D97" s="25" t="inlineStr">
        <is>
          <t>Login</t>
        </is>
      </c>
      <c r="E97" s="25" t="inlineStr">
        <is>
          <t>The login password field is masked by default, the visibility toggle unmasks and re-masks it, and the value never reaches the URL.</t>
        </is>
      </c>
      <c r="F97" s="13" t="inlineStr">
        <is>
          <t>High</t>
        </is>
      </c>
      <c r="G97" s="25" t="inlineStr">
        <is>
          <t>Security</t>
        </is>
      </c>
      <c r="H97" s="25" t="inlineStr">
        <is>
          <t>Anonymous session.</t>
        </is>
      </c>
      <c r="I97" s="25" t="inlineStr">
        <is>
          <t>Password: temporary-secret.</t>
        </is>
      </c>
      <c r="J97" s="25" t="inlineStr">
        <is>
          <t>1. Open /kr/auth/login.
2. Type temporary-secret in the password field.
3. Confirm the field is masked.
4. Click the visibility toggle.
5. Click the visibility toggle again.
6. Check the URL.</t>
        </is>
      </c>
      <c r="K97" s="25" t="inlineStr">
        <is>
          <t>Input type is password after step 3, text after step 4, password again after step 5. The URL is still exactly /kr/auth/login with no query string. Suite guard: no unexpected console errors or HTTP 4xx/5xx.</t>
        </is>
      </c>
      <c r="L97" s="13" t="inlineStr">
        <is>
          <t>Automated</t>
        </is>
      </c>
      <c r="M97" s="25" t="inlineStr">
        <is>
          <t>Production-safe</t>
        </is>
      </c>
      <c r="N97" s="25" t="inlineStr">
        <is>
          <t>-</t>
        </is>
      </c>
      <c r="O97" s="25" t="inlineStr">
        <is>
          <t>tests/e2e/storefront/auth/login.spec.ts</t>
        </is>
      </c>
      <c r="P97" s="25" t="inlineStr">
        <is>
          <t>MS-AUTH-006 password visibility toggle masks and unmasks password</t>
        </is>
      </c>
      <c r="Q97" s="25" t="inlineStr">
        <is>
          <t>@auth @production</t>
        </is>
      </c>
      <c r="R97" s="13" t="n">
        <v>1</v>
      </c>
      <c r="S97" s="25" t="inlineStr">
        <is>
          <t>Also covers MS-AUTH-011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7" s="14" t="inlineStr">
        <is>
          <t>Pass</t>
        </is>
      </c>
      <c r="U97" s="15" t="n"/>
      <c r="V97" s="15" t="inlineStr">
        <is>
          <t>Codex / Playwright</t>
        </is>
      </c>
      <c r="W97" s="15" t="inlineStr">
        <is>
          <t>2026-10-23</t>
        </is>
      </c>
      <c r="X97" s="15" t="inlineStr">
        <is>
          <t>dev-2; retries=0. Full desktop: 1 passed, 0 failed, 0 skipped. See Dev-2 Audit 2026-10-23.</t>
        </is>
      </c>
      <c r="Y97" s="25" t="inlineStr">
        <is>
          <t>MS-V2-031</t>
        </is>
      </c>
    </row>
    <row r="98" ht="150" customHeight="1">
      <c r="A98" s="12" t="inlineStr">
        <is>
          <t>MS-AUTH-007</t>
        </is>
      </c>
      <c r="B98" s="25" t="inlineStr">
        <is>
          <t>Storefront</t>
        </is>
      </c>
      <c r="C98" s="25" t="inlineStr">
        <is>
          <t>8. Sign-in &amp; registration</t>
        </is>
      </c>
      <c r="D98" s="25" t="inlineStr">
        <is>
          <t>Login</t>
        </is>
      </c>
      <c r="E98" s="25" t="inlineStr">
        <is>
          <t>The forgot-password dialog opens from login and rejects blank and malformed emails before sending anything.</t>
        </is>
      </c>
      <c r="F98" s="13" t="inlineStr">
        <is>
          <t>High</t>
        </is>
      </c>
      <c r="G98" s="25" t="inlineStr">
        <is>
          <t>Validation</t>
        </is>
      </c>
      <c r="H98" s="25" t="inlineStr">
        <is>
          <t>Anonymous session.</t>
        </is>
      </c>
      <c r="I98" s="25" t="inlineStr">
        <is>
          <t>Email attempts: empty, then not-an-email.</t>
        </is>
      </c>
      <c r="J98" s="25" t="inlineStr">
        <is>
          <t>1. Open /kr/auth/login.
2. Click the forgot-password button.
3. Leave the recovery email empty and click submit.
4. Enter not-an-email and click submit.
5. Click the return button to go back to the login form.</t>
        </is>
      </c>
      <c r="K98"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8" s="13" t="inlineStr">
        <is>
          <t>Automated</t>
        </is>
      </c>
      <c r="M98" s="25" t="inlineStr">
        <is>
          <t>Production-safe</t>
        </is>
      </c>
      <c r="N98" s="25" t="inlineStr">
        <is>
          <t>-</t>
        </is>
      </c>
      <c r="O98" s="25" t="inlineStr">
        <is>
          <t>tests/e2e/storefront/auth/login.spec.ts</t>
        </is>
      </c>
      <c r="P98" s="25" t="inlineStr">
        <is>
          <t>MS-AUTH-007 forgot-password recovery opens and validates its email input @validation</t>
        </is>
      </c>
      <c r="Q98" s="25" t="inlineStr">
        <is>
          <t>@auth @production @validation</t>
        </is>
      </c>
      <c r="R98" s="13" t="n">
        <v>1</v>
      </c>
      <c r="S98" s="25" t="inlineStr">
        <is>
          <t>Unlike MS-AUTH-003/MS-AUTH-004, the code does not watch the network, so the claim that no recovery request is sent is not actually verified. Never submit a real address in production.</t>
        </is>
      </c>
      <c r="T98" s="14" t="inlineStr">
        <is>
          <t>Pass</t>
        </is>
      </c>
      <c r="U98" s="15" t="n"/>
      <c r="V98" s="15" t="inlineStr">
        <is>
          <t>Codex / Playwright</t>
        </is>
      </c>
      <c r="W98" s="15" t="inlineStr">
        <is>
          <t>2026-10-23</t>
        </is>
      </c>
      <c r="X98" s="15" t="inlineStr">
        <is>
          <t>dev-2; retries=0. Full desktop: 1 passed, 0 failed, 0 skipped. See Dev-2 Audit 2026-10-23.</t>
        </is>
      </c>
      <c r="Y98" s="25" t="inlineStr">
        <is>
          <t>MS-V2-032</t>
        </is>
      </c>
    </row>
    <row r="99" ht="150" customHeight="1">
      <c r="A99" s="12" t="inlineStr">
        <is>
          <t>MS-AUTH-008</t>
        </is>
      </c>
      <c r="B99" s="25" t="inlineStr">
        <is>
          <t>Storefront</t>
        </is>
      </c>
      <c r="C99" s="25" t="inlineStr">
        <is>
          <t>8. Sign-in &amp; registration</t>
        </is>
      </c>
      <c r="D99" s="25" t="inlineStr">
        <is>
          <t>Login</t>
        </is>
      </c>
      <c r="E99" s="25" t="inlineStr">
        <is>
          <t>The create-account link on the login page opens the registration page.</t>
        </is>
      </c>
      <c r="F99" s="13" t="inlineStr">
        <is>
          <t>High</t>
        </is>
      </c>
      <c r="G99" s="25" t="inlineStr">
        <is>
          <t>Navigation</t>
        </is>
      </c>
      <c r="H99" s="25" t="inlineStr">
        <is>
          <t>Anonymous session.</t>
        </is>
      </c>
      <c r="I99" s="25" t="inlineStr">
        <is>
          <t>None.</t>
        </is>
      </c>
      <c r="J99" s="25" t="inlineStr">
        <is>
          <t>1. Open /kr/auth/login and wait for the page to become interactive.
2. Click the create-account link.
3. Check the URL and the page shown.</t>
        </is>
      </c>
      <c r="K99" s="25" t="inlineStr">
        <is>
          <t>URL becomes /kr/auth/register and the register page container (auth-register-page) is visible. Suite guard: no unexpected console errors or HTTP 4xx/5xx.</t>
        </is>
      </c>
      <c r="L99" s="13" t="inlineStr">
        <is>
          <t>Automated</t>
        </is>
      </c>
      <c r="M99" s="25" t="inlineStr">
        <is>
          <t>Production-safe</t>
        </is>
      </c>
      <c r="N99" s="25" t="inlineStr">
        <is>
          <t>-</t>
        </is>
      </c>
      <c r="O99" s="25" t="inlineStr">
        <is>
          <t>tests/e2e/storefront/auth/login.spec.ts</t>
        </is>
      </c>
      <c r="P99" s="25" t="inlineStr">
        <is>
          <t>MS-AUTH-008 register entry is reachable from login</t>
        </is>
      </c>
      <c r="Q99" s="25" t="inlineStr">
        <is>
          <t>@auth @production</t>
        </is>
      </c>
      <c r="R99" s="13" t="n">
        <v>1</v>
      </c>
      <c r="S99" s="25" t="inlineStr">
        <is>
          <t>test-case.md steps 4-6 (check registration fields, go back, login form restored) are not in this test; register controls are MS-AUTH-012 and the return trip is MS-AUTH-018. Nothing is submitted.</t>
        </is>
      </c>
      <c r="T99" s="14" t="inlineStr">
        <is>
          <t>Pass</t>
        </is>
      </c>
      <c r="U99" s="15" t="n"/>
      <c r="V99" s="15" t="inlineStr">
        <is>
          <t>Codex / Playwright</t>
        </is>
      </c>
      <c r="W99" s="15" t="inlineStr">
        <is>
          <t>2026-10-23</t>
        </is>
      </c>
      <c r="X99" s="15" t="inlineStr">
        <is>
          <t>dev-2; retries=0. Full desktop: 1 passed, 0 failed, 0 skipped. See Dev-2 Audit 2026-10-23.</t>
        </is>
      </c>
      <c r="Y99" s="25" t="inlineStr">
        <is>
          <t>MS-V2-033</t>
        </is>
      </c>
    </row>
    <row r="100" ht="150" customHeight="1">
      <c r="A100" s="12" t="inlineStr">
        <is>
          <t>MS-AUTH-009</t>
        </is>
      </c>
      <c r="B100" s="25" t="inlineStr">
        <is>
          <t>Storefront</t>
        </is>
      </c>
      <c r="C100" s="25" t="inlineStr">
        <is>
          <t>8. Sign-in &amp; registration</t>
        </is>
      </c>
      <c r="D100" s="25" t="inlineStr">
        <is>
          <t>Login</t>
        </is>
      </c>
      <c r="E100" s="25" t="inlineStr">
        <is>
          <t>The seeded member can log in through the login form and sees the member account menu.</t>
        </is>
      </c>
      <c r="F100" s="13" t="inlineStr">
        <is>
          <t>Critical</t>
        </is>
      </c>
      <c r="G100" s="25" t="inlineStr">
        <is>
          <t>Positive</t>
        </is>
      </c>
      <c r="H100" s="25" t="inlineStr">
        <is>
          <t>Anonymous session. Seeded member exists on the environment under test.</t>
        </is>
      </c>
      <c r="I100" s="25" t="inlineStr">
        <is>
          <t>AUTH_TEST_EMAIL / AUTH_TEST_PASSWORD.</t>
        </is>
      </c>
      <c r="J100" s="25" t="inlineStr">
        <is>
          <t>1. Open /kr/auth/login.
2. Enter the seeded email and password.
3. Press Enter (the test clicks the submit button if Enter does not produce a successful login response).
4. Open the header account menu.</t>
        </is>
      </c>
      <c r="K100" s="25" t="inlineStr">
        <is>
          <t>POST /sys/kr/auth/login answers 200 and a toast reads 로그인에 성공했습니다. The account menu shows the member dropdown and a logout button. Suite guard: no unexpected console errors or HTTP 4xx/5xx.</t>
        </is>
      </c>
      <c r="L100" s="13" t="inlineStr">
        <is>
          <t>Automated</t>
        </is>
      </c>
      <c r="M100" s="25" t="inlineStr">
        <is>
          <t>Production-safe</t>
        </is>
      </c>
      <c r="N100" s="25" t="inlineStr">
        <is>
          <t>AUTH_TEST_EMAIL/AUTH_TEST_PASSWORD</t>
        </is>
      </c>
      <c r="O100" s="25" t="inlineStr">
        <is>
          <t>tests/e2e/storefront/auth/login.spec.ts</t>
        </is>
      </c>
      <c r="P100" s="25" t="inlineStr">
        <is>
          <t>MS-AUTH-009 seeded member can log in @credentialed</t>
        </is>
      </c>
      <c r="Q100" s="25" t="inlineStr">
        <is>
          <t>@auth @production @credentialed</t>
        </is>
      </c>
      <c r="R100" s="13" t="n">
        <v>1</v>
      </c>
      <c r="S100"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100" s="14" t="inlineStr">
        <is>
          <t>Pass</t>
        </is>
      </c>
      <c r="U100" s="15" t="n"/>
      <c r="V100" s="15" t="inlineStr">
        <is>
          <t>Codex / Playwright</t>
        </is>
      </c>
      <c r="W100" s="15" t="inlineStr">
        <is>
          <t>2026-10-23</t>
        </is>
      </c>
      <c r="X100" s="15" t="inlineStr">
        <is>
          <t>dev-2; retries=0. Full desktop: 1 passed, 0 failed, 0 skipped. See Dev-2 Audit 2026-10-23.</t>
        </is>
      </c>
      <c r="Y100" s="25" t="inlineStr">
        <is>
          <t>MS-V2-034</t>
        </is>
      </c>
    </row>
    <row r="101" ht="150" customHeight="1">
      <c r="A101" s="12" t="inlineStr">
        <is>
          <t>MS-AUTH-010</t>
        </is>
      </c>
      <c r="B101" s="25" t="inlineStr">
        <is>
          <t>Storefront</t>
        </is>
      </c>
      <c r="C101" s="25" t="inlineStr">
        <is>
          <t>8. Sign-in &amp; registration</t>
        </is>
      </c>
      <c r="D101" s="25" t="inlineStr">
        <is>
          <t>Login</t>
        </is>
      </c>
      <c r="E101" s="25" t="inlineStr">
        <is>
          <t>A logged-in session survives reload and navigation, reaches a member-only page, and logout returns the header to its guest state.</t>
        </is>
      </c>
      <c r="F101" s="13" t="inlineStr">
        <is>
          <t>Critical</t>
        </is>
      </c>
      <c r="G101" s="25" t="inlineStr">
        <is>
          <t>Functional</t>
        </is>
      </c>
      <c r="H101" s="25" t="inlineStr">
        <is>
          <t>Anonymous session. Seeded member exists on the environment under test.</t>
        </is>
      </c>
      <c r="I101" s="25" t="inlineStr">
        <is>
          <t>AUTH_TEST_EMAIL / AUTH_TEST_PASSWORD.</t>
        </is>
      </c>
      <c r="J101"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101"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101" s="13" t="inlineStr">
        <is>
          <t>Automated</t>
        </is>
      </c>
      <c r="M101" s="25" t="inlineStr">
        <is>
          <t>Production-safe</t>
        </is>
      </c>
      <c r="N101" s="25" t="inlineStr">
        <is>
          <t>AUTH_TEST_EMAIL/AUTH_TEST_PASSWORD</t>
        </is>
      </c>
      <c r="O101" s="25" t="inlineStr">
        <is>
          <t>tests/e2e/storefront/auth/login.spec.ts</t>
        </is>
      </c>
      <c r="P101" s="25" t="inlineStr">
        <is>
          <t>MS-AUTH-010 session persists across reload and navigation, and logout clears it @credentialed</t>
        </is>
      </c>
      <c r="Q101" s="25" t="inlineStr">
        <is>
          <t>@auth @production @credentialed</t>
        </is>
      </c>
      <c r="R101" s="13" t="n">
        <v>1</v>
      </c>
      <c r="S101" s="25" t="inlineStr">
        <is>
          <t>401s from member-scoped requests that land after logout are tolerated by design. test-case.md lists @regression; the spec does not carry it.</t>
        </is>
      </c>
      <c r="T101" s="14" t="inlineStr">
        <is>
          <t>Pass</t>
        </is>
      </c>
      <c r="U101" s="15" t="n"/>
      <c r="V101" s="15" t="inlineStr">
        <is>
          <t>Codex / Playwright</t>
        </is>
      </c>
      <c r="W101" s="15" t="inlineStr">
        <is>
          <t>2026-10-23</t>
        </is>
      </c>
      <c r="X101" s="15" t="inlineStr">
        <is>
          <t>dev-2; retries=0. Full desktop: 1 passed, 0 failed, 0 skipped. See Dev-2 Audit 2026-10-23.</t>
        </is>
      </c>
      <c r="Y101" s="25" t="inlineStr">
        <is>
          <t>MS-V2-035</t>
        </is>
      </c>
    </row>
    <row r="102" ht="150" customHeight="1">
      <c r="A102" s="16" t="inlineStr">
        <is>
          <t>MS-AUTH-011</t>
        </is>
      </c>
      <c r="B102" s="25" t="inlineStr">
        <is>
          <t>Storefront</t>
        </is>
      </c>
      <c r="C102" s="25" t="inlineStr">
        <is>
          <t>8. Sign-in &amp; registration</t>
        </is>
      </c>
      <c r="D102" s="25" t="inlineStr">
        <is>
          <t>Login</t>
        </is>
      </c>
      <c r="E102" s="17" t="inlineStr">
        <is>
          <t>Withdrawn: re-verification of the MS-AUTH-006 password visibility toggle. Merged into MS-AUTH-006.</t>
        </is>
      </c>
      <c r="F102" s="13" t="inlineStr">
        <is>
          <t>High</t>
        </is>
      </c>
      <c r="G102" s="25" t="inlineStr">
        <is>
          <t>Regression</t>
        </is>
      </c>
      <c r="H102" s="25" t="inlineStr">
        <is>
          <t>-</t>
        </is>
      </c>
      <c r="I102" s="25" t="inlineStr">
        <is>
          <t>-</t>
        </is>
      </c>
      <c r="J102" s="25" t="inlineStr">
        <is>
          <t>-</t>
        </is>
      </c>
      <c r="K102" s="25" t="inlineStr">
        <is>
          <t>-</t>
        </is>
      </c>
      <c r="L102" s="13" t="inlineStr">
        <is>
          <t>Withdrawn</t>
        </is>
      </c>
      <c r="M102" s="25" t="inlineStr">
        <is>
          <t>Production-safe</t>
        </is>
      </c>
      <c r="N102" s="25" t="inlineStr">
        <is>
          <t>-</t>
        </is>
      </c>
      <c r="O102" s="25" t="inlineStr">
        <is>
          <t>-</t>
        </is>
      </c>
      <c r="P102" s="25" t="inlineStr">
        <is>
          <t>-</t>
        </is>
      </c>
      <c r="Q102" s="25" t="inlineStr">
        <is>
          <t>-</t>
        </is>
      </c>
      <c r="R102" s="13" t="n">
        <v>0</v>
      </c>
      <c r="S102" s="25" t="inlineStr">
        <is>
          <t>withdrawn 2026-08-11: the production toggle bug (rendered but did not unmask) no longer reproduced, so the re-verification was folded into MS-AUTH-006 (see the comment in tests/e2e/storefront/auth/login.spec.ts). Keep the ID; do not reuse it.</t>
        </is>
      </c>
      <c r="T102" s="14" t="inlineStr">
        <is>
          <t>N/A</t>
        </is>
      </c>
      <c r="U102" s="15" t="n"/>
      <c r="V102" s="15" t="n"/>
      <c r="W102" s="15" t="n"/>
      <c r="X102" s="15" t="n"/>
      <c r="Y102" s="25" t="inlineStr">
        <is>
          <t>MS-V2-044</t>
        </is>
      </c>
    </row>
    <row r="103" ht="150" customHeight="1">
      <c r="A103" s="12" t="inlineStr">
        <is>
          <t>MS-AUTH-012</t>
        </is>
      </c>
      <c r="B103" s="25" t="inlineStr">
        <is>
          <t>Storefront</t>
        </is>
      </c>
      <c r="C103" s="25" t="inlineStr">
        <is>
          <t>8. Sign-in &amp; registration</t>
        </is>
      </c>
      <c r="D103" s="25" t="inlineStr">
        <is>
          <t>Registration</t>
        </is>
      </c>
      <c r="E103" s="25" t="inlineStr">
        <is>
          <t>The registration page shows every control needed to sign up, with the password masked and the password policy stated.</t>
        </is>
      </c>
      <c r="F103" s="13" t="inlineStr">
        <is>
          <t>Critical</t>
        </is>
      </c>
      <c r="G103" s="25" t="inlineStr">
        <is>
          <t>Smoke</t>
        </is>
      </c>
      <c r="H103" s="25" t="inlineStr">
        <is>
          <t>Anonymous session.</t>
        </is>
      </c>
      <c r="I103" s="25" t="inlineStr">
        <is>
          <t>None.</t>
        </is>
      </c>
      <c r="J103"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103"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MS-AUTH-012 register form exposes expected controls @smoke</t>
        </is>
      </c>
      <c r="Q103" s="25" t="inlineStr">
        <is>
          <t>@auth @production @smoke</t>
        </is>
      </c>
      <c r="R103" s="13" t="n">
        <v>1</v>
      </c>
      <c r="S103" s="25" t="inlineStr">
        <is>
          <t>Read-only; nothing is submitted. The opt-in checkbox is only checked for presence, not visibility (it is visually replaced by a styled box).</t>
        </is>
      </c>
      <c r="T103" s="14" t="inlineStr">
        <is>
          <t>Pass</t>
        </is>
      </c>
      <c r="U103" s="15" t="n"/>
      <c r="V103" s="15" t="inlineStr">
        <is>
          <t>Codex / Playwright</t>
        </is>
      </c>
      <c r="W103" s="15" t="inlineStr">
        <is>
          <t>2026-10-23</t>
        </is>
      </c>
      <c r="X103" s="15" t="inlineStr">
        <is>
          <t>dev-2; retries=0. Full desktop: 1 passed, 0 failed, 0 skipped. See Dev-2 Audit 2026-10-23.</t>
        </is>
      </c>
      <c r="Y103" s="25" t="inlineStr">
        <is>
          <t>MS-V2-079</t>
        </is>
      </c>
    </row>
    <row r="104" ht="150" customHeight="1">
      <c r="A104" s="12" t="inlineStr">
        <is>
          <t>MS-AUTH-013</t>
        </is>
      </c>
      <c r="B104" s="25" t="inlineStr">
        <is>
          <t>Storefront</t>
        </is>
      </c>
      <c r="C104" s="25" t="inlineStr">
        <is>
          <t>8. Sign-in &amp; registration</t>
        </is>
      </c>
      <c r="D104" s="25" t="inlineStr">
        <is>
          <t>Registration</t>
        </is>
      </c>
      <c r="E104" s="25" t="inlineStr">
        <is>
          <t>Submitting the registration form blank shows required-field errors and requests no verification code.</t>
        </is>
      </c>
      <c r="F104" s="13" t="inlineStr">
        <is>
          <t>Critical</t>
        </is>
      </c>
      <c r="G104" s="25" t="inlineStr">
        <is>
          <t>Validation</t>
        </is>
      </c>
      <c r="H104" s="25" t="inlineStr">
        <is>
          <t>Anonymous session.</t>
        </is>
      </c>
      <c r="I104" s="25" t="inlineStr">
        <is>
          <t>All fields empty, terms unchecked.</t>
        </is>
      </c>
      <c r="J104" s="25" t="inlineStr">
        <is>
          <t>1. Open /kr/auth/register.
2. Leave name, email and password empty and the terms box unticked.
3. Click the submit button (계정 만들기).</t>
        </is>
      </c>
      <c r="K104" s="25" t="inlineStr">
        <is>
          <t>At least one field error reads 필수 항목입니다. URL stays /kr/auth/register. The verification code modal does not open (no first code input).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MS-AUTH-013 blank register submit is blocked with required-field validation @validation</t>
        </is>
      </c>
      <c r="Q104" s="25" t="inlineStr">
        <is>
          <t>@auth @production @validation</t>
        </is>
      </c>
      <c r="R104" s="13" t="n">
        <v>1</v>
      </c>
      <c r="S104" s="25" t="inlineStr">
        <is>
          <t>The absence of a request is inferred from the missing code modal; the network is not watched. The register text (필수 항목입니다.) differs from login's (필수 입력 항목입니다.).</t>
        </is>
      </c>
      <c r="T104" s="14" t="inlineStr">
        <is>
          <t>Pass</t>
        </is>
      </c>
      <c r="U104" s="15" t="n"/>
      <c r="V104" s="15" t="inlineStr">
        <is>
          <t>Codex / Playwright</t>
        </is>
      </c>
      <c r="W104" s="15" t="inlineStr">
        <is>
          <t>2026-10-23</t>
        </is>
      </c>
      <c r="X104" s="15" t="inlineStr">
        <is>
          <t>dev-2; retries=0. Full desktop: 1 passed, 0 failed, 0 skipped. See Dev-2 Audit 2026-10-23.</t>
        </is>
      </c>
      <c r="Y104" s="25" t="inlineStr">
        <is>
          <t>MS-V2-080</t>
        </is>
      </c>
    </row>
    <row r="105" ht="150" customHeight="1">
      <c r="A105" s="12" t="inlineStr">
        <is>
          <t>MS-AUTH-014</t>
        </is>
      </c>
      <c r="B105" s="25" t="inlineStr">
        <is>
          <t>Storefront</t>
        </is>
      </c>
      <c r="C105" s="25" t="inlineStr">
        <is>
          <t>8. Sign-in &amp; registration</t>
        </is>
      </c>
      <c r="D105" s="25" t="inlineStr">
        <is>
          <t>Registration</t>
        </is>
      </c>
      <c r="E105" s="25" t="inlineStr">
        <is>
          <t>A malformed email on the registration form is rejected before any verification code is requested.</t>
        </is>
      </c>
      <c r="F105" s="13" t="inlineStr">
        <is>
          <t>High</t>
        </is>
      </c>
      <c r="G105" s="25" t="inlineStr">
        <is>
          <t>Validation</t>
        </is>
      </c>
      <c r="H105" s="25" t="inlineStr">
        <is>
          <t>Anonymous session.</t>
        </is>
      </c>
      <c r="I105" s="25" t="inlineStr">
        <is>
          <t>Name: E2E Test User. Email: not-an-email. Password: E2eSuite!2026. Terms agreed.</t>
        </is>
      </c>
      <c r="J105" s="25" t="inlineStr">
        <is>
          <t>1. Open /kr/auth/register.
2. Enter E2E Test User, not-an-email and E2eSuite!2026, and tick the terms box.
3. Click the submit button.</t>
        </is>
      </c>
      <c r="K105" s="25" t="inlineStr">
        <is>
          <t>A field error reads 이메일 형식이 올바르지 않습니다. The verification code modal does not open.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MS-AUTH-014 malformed email is rejected before any account is requested @validation</t>
        </is>
      </c>
      <c r="Q105" s="25" t="inlineStr">
        <is>
          <t>@auth @production @validation</t>
        </is>
      </c>
      <c r="R105" s="13" t="n">
        <v>1</v>
      </c>
      <c r="S105" s="25" t="inlineStr">
        <is>
          <t>URL is not asserted here (unlike MS-AUTH-013).</t>
        </is>
      </c>
      <c r="T105" s="14" t="inlineStr">
        <is>
          <t>Pass</t>
        </is>
      </c>
      <c r="U105" s="15" t="n"/>
      <c r="V105" s="15" t="inlineStr">
        <is>
          <t>Codex / Playwright</t>
        </is>
      </c>
      <c r="W105" s="15" t="inlineStr">
        <is>
          <t>2026-10-23</t>
        </is>
      </c>
      <c r="X105" s="15" t="inlineStr">
        <is>
          <t>dev-2; retries=0. Full desktop: 1 passed, 0 failed, 0 skipped. See Dev-2 Audit 2026-10-23.</t>
        </is>
      </c>
      <c r="Y105" s="25" t="inlineStr">
        <is>
          <t>MS-V2-081</t>
        </is>
      </c>
    </row>
    <row r="106" ht="150" customHeight="1">
      <c r="A106" s="12" t="inlineStr">
        <is>
          <t>MS-AUTH-015</t>
        </is>
      </c>
      <c r="B106" s="25" t="inlineStr">
        <is>
          <t>Storefront</t>
        </is>
      </c>
      <c r="C106" s="25" t="inlineStr">
        <is>
          <t>8. Sign-in &amp; registration</t>
        </is>
      </c>
      <c r="D106" s="25" t="inlineStr">
        <is>
          <t>Registration</t>
        </is>
      </c>
      <c r="E106" s="25" t="inlineStr">
        <is>
          <t>A password that does not meet the stated policy is rejected on registration.</t>
        </is>
      </c>
      <c r="F106" s="13" t="inlineStr">
        <is>
          <t>High</t>
        </is>
      </c>
      <c r="G106" s="25" t="inlineStr">
        <is>
          <t>Validation</t>
        </is>
      </c>
      <c r="H106" s="25" t="inlineStr">
        <is>
          <t>Anonymous session.</t>
        </is>
      </c>
      <c r="I106" s="25" t="inlineStr">
        <is>
          <t>Name: E2E Test User. Email: e2e-policy-&lt;timestamp&gt;@example.com (unique per run). Password: abc. Terms agreed.</t>
        </is>
      </c>
      <c r="J106" s="25" t="inlineStr">
        <is>
          <t>1. Open /kr/auth/register.
2. Enter E2E Test User, a unique e2e-policy-&lt;timestamp&gt;@example.com address and the password abc; tick the terms box.
3. Click the submit button.</t>
        </is>
      </c>
      <c r="K106" s="25" t="inlineStr">
        <is>
          <t>A field error reads 비밀번호가 요구 사항을 충족하지 않습니다. The verification code modal does not open. Suite guard: no unexpected console errors or HTTP 4xx/5xx.</t>
        </is>
      </c>
      <c r="L106" s="13" t="inlineStr">
        <is>
          <t>Automated</t>
        </is>
      </c>
      <c r="M106" s="25" t="inlineStr">
        <is>
          <t>Production-safe</t>
        </is>
      </c>
      <c r="N106" s="25" t="inlineStr">
        <is>
          <t>-</t>
        </is>
      </c>
      <c r="O106" s="25" t="inlineStr">
        <is>
          <t>tests/e2e/storefront/auth/registration.spec.ts</t>
        </is>
      </c>
      <c r="P106" s="25" t="inlineStr">
        <is>
          <t>MS-AUTH-015 password below the stated policy is rejected @validation</t>
        </is>
      </c>
      <c r="Q106" s="25" t="inlineStr">
        <is>
          <t>@auth @production @validation</t>
        </is>
      </c>
      <c r="R106" s="13" t="n">
        <v>1</v>
      </c>
      <c r="S106" s="25" t="inlineStr">
        <is>
          <t>abc fails both the 6-character minimum and the character-class rule.</t>
        </is>
      </c>
      <c r="T106" s="14" t="inlineStr">
        <is>
          <t>Pass</t>
        </is>
      </c>
      <c r="U106" s="15" t="n"/>
      <c r="V106" s="15" t="inlineStr">
        <is>
          <t>Codex / Playwright</t>
        </is>
      </c>
      <c r="W106" s="15" t="inlineStr">
        <is>
          <t>2026-10-23</t>
        </is>
      </c>
      <c r="X106" s="15" t="inlineStr">
        <is>
          <t>dev-2; retries=0. Full desktop: 1 passed, 0 failed, 0 skipped. See Dev-2 Audit 2026-10-23.</t>
        </is>
      </c>
      <c r="Y106" s="25" t="inlineStr">
        <is>
          <t>MS-V2-082</t>
        </is>
      </c>
    </row>
    <row r="107" ht="150" customHeight="1">
      <c r="A107" s="12" t="inlineStr">
        <is>
          <t>MS-AUTH-016</t>
        </is>
      </c>
      <c r="B107" s="25" t="inlineStr">
        <is>
          <t>Storefront</t>
        </is>
      </c>
      <c r="C107" s="25" t="inlineStr">
        <is>
          <t>8. Sign-in &amp; registration</t>
        </is>
      </c>
      <c r="D107" s="25" t="inlineStr">
        <is>
          <t>Registration</t>
        </is>
      </c>
      <c r="E107" s="25" t="inlineStr">
        <is>
          <t>Registration is blocked until the terms checkbox is ticked, and the error clears once it is.</t>
        </is>
      </c>
      <c r="F107" s="13" t="inlineStr">
        <is>
          <t>High</t>
        </is>
      </c>
      <c r="G107" s="25" t="inlineStr">
        <is>
          <t>Validation</t>
        </is>
      </c>
      <c r="H107" s="25" t="inlineStr">
        <is>
          <t>Anonymous session.</t>
        </is>
      </c>
      <c r="I107" s="25" t="inlineStr">
        <is>
          <t>Name: E2E Test User. Email: e2e-terms-&lt;timestamp&gt;@example.com. Password: E2eSuite!2026. Terms NOT agreed.</t>
        </is>
      </c>
      <c r="J107" s="25" t="inlineStr">
        <is>
          <t>1. Open /kr/auth/register.
2. Enter E2E Test User, a unique e2e-terms-&lt;timestamp&gt;@example.com address and E2eSuite!2026; leave the terms box unticked.
3. Click the submit button.
4. Tick the terms box.</t>
        </is>
      </c>
      <c r="K107"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7" s="13" t="inlineStr">
        <is>
          <t>Automated</t>
        </is>
      </c>
      <c r="M107" s="25" t="inlineStr">
        <is>
          <t>Production-safe</t>
        </is>
      </c>
      <c r="N107" s="25" t="inlineStr">
        <is>
          <t>-</t>
        </is>
      </c>
      <c r="O107" s="25" t="inlineStr">
        <is>
          <t>tests/e2e/storefront/auth/registration.spec.ts</t>
        </is>
      </c>
      <c r="P107" s="25" t="inlineStr">
        <is>
          <t>MS-AUTH-016 registration is blocked until the terms checkbox is agreed @validation</t>
        </is>
      </c>
      <c r="Q107" s="25" t="inlineStr">
        <is>
          <t>@auth @production @validation</t>
        </is>
      </c>
      <c r="R107" s="13" t="n">
        <v>1</v>
      </c>
      <c r="S107" s="25" t="inlineStr">
        <is>
          <t>The terms row has no inline error text; the only text on its error control is the screen-reader label 약관 오류 정보, so state is checked rather than visible copy. The form is not resubmitted after ticking.</t>
        </is>
      </c>
      <c r="T107" s="14" t="inlineStr">
        <is>
          <t>Pass</t>
        </is>
      </c>
      <c r="U107" s="15" t="n"/>
      <c r="V107" s="15" t="inlineStr">
        <is>
          <t>Codex / Playwright</t>
        </is>
      </c>
      <c r="W107" s="15" t="inlineStr">
        <is>
          <t>2026-10-23</t>
        </is>
      </c>
      <c r="X107" s="15" t="inlineStr">
        <is>
          <t>dev-2; retries=0. Full desktop: 1 passed, 0 failed, 0 skipped. See Dev-2 Audit 2026-10-23.</t>
        </is>
      </c>
      <c r="Y107" s="25" t="inlineStr">
        <is>
          <t>MS-V2-083</t>
        </is>
      </c>
    </row>
    <row r="108" ht="150" customHeight="1">
      <c r="A108" s="12" t="inlineStr">
        <is>
          <t>MS-AUTH-017</t>
        </is>
      </c>
      <c r="B108" s="25" t="inlineStr">
        <is>
          <t>Storefront</t>
        </is>
      </c>
      <c r="C108" s="25" t="inlineStr">
        <is>
          <t>8. Sign-in &amp; registration</t>
        </is>
      </c>
      <c r="D108" s="25" t="inlineStr">
        <is>
          <t>Registration</t>
        </is>
      </c>
      <c r="E108" s="25" t="inlineStr">
        <is>
          <t>The registration password field is masked, the toggle unmasks and re-masks it, and the value never reaches the URL.</t>
        </is>
      </c>
      <c r="F108" s="13" t="inlineStr">
        <is>
          <t>Medium</t>
        </is>
      </c>
      <c r="G108" s="25" t="inlineStr">
        <is>
          <t>Security</t>
        </is>
      </c>
      <c r="H108" s="25" t="inlineStr">
        <is>
          <t>Anonymous session.</t>
        </is>
      </c>
      <c r="I108" s="25" t="inlineStr">
        <is>
          <t>Password: temporary-secret.</t>
        </is>
      </c>
      <c r="J108" s="25" t="inlineStr">
        <is>
          <t>1. Open /kr/auth/register.
2. Type temporary-secret in the password field.
3. Confirm it is masked, click the visibility toggle, then click it again.
4. Check the URL.</t>
        </is>
      </c>
      <c r="K108" s="25" t="inlineStr">
        <is>
          <t>Input type is password, then text after the first toggle, then password after the second. URL is still exactly /kr/auth/register with no query string. Suite guard: no unexpected console errors or HTTP 4xx/5xx.</t>
        </is>
      </c>
      <c r="L108" s="13" t="inlineStr">
        <is>
          <t>Automated</t>
        </is>
      </c>
      <c r="M108" s="25" t="inlineStr">
        <is>
          <t>Production-safe</t>
        </is>
      </c>
      <c r="N108" s="25" t="inlineStr">
        <is>
          <t>-</t>
        </is>
      </c>
      <c r="O108" s="25" t="inlineStr">
        <is>
          <t>tests/e2e/storefront/auth/registration.spec.ts</t>
        </is>
      </c>
      <c r="P108" s="25" t="inlineStr">
        <is>
          <t>MS-AUTH-017 register password visibility toggle masks and unmasks</t>
        </is>
      </c>
      <c r="Q108" s="25" t="inlineStr">
        <is>
          <t>@auth @production</t>
        </is>
      </c>
      <c r="R108" s="13" t="n">
        <v>1</v>
      </c>
      <c r="S108" s="25" t="inlineStr">
        <is>
          <t>The register toggle's test id is auth-register-password-toggle (no -button suffix, unlike login).</t>
        </is>
      </c>
      <c r="T108" s="14" t="inlineStr">
        <is>
          <t>Pass</t>
        </is>
      </c>
      <c r="U108" s="15" t="n"/>
      <c r="V108" s="15" t="inlineStr">
        <is>
          <t>Codex / Playwright</t>
        </is>
      </c>
      <c r="W108" s="15" t="inlineStr">
        <is>
          <t>2026-10-23</t>
        </is>
      </c>
      <c r="X108" s="15" t="inlineStr">
        <is>
          <t>dev-2; retries=0. Full desktop: 1 passed, 0 failed, 0 skipped. See Dev-2 Audit 2026-10-23.</t>
        </is>
      </c>
      <c r="Y108" s="25" t="inlineStr">
        <is>
          <t>MS-V2-084</t>
        </is>
      </c>
    </row>
    <row r="109" ht="150" customHeight="1">
      <c r="A109" s="12" t="inlineStr">
        <is>
          <t>MS-AUTH-018</t>
        </is>
      </c>
      <c r="B109" s="25" t="inlineStr">
        <is>
          <t>Storefront</t>
        </is>
      </c>
      <c r="C109" s="25" t="inlineStr">
        <is>
          <t>8. Sign-in &amp; registration</t>
        </is>
      </c>
      <c r="D109" s="25" t="inlineStr">
        <is>
          <t>Registration</t>
        </is>
      </c>
      <c r="E109" s="25" t="inlineStr">
        <is>
          <t>The login link on the registration page opens the login page with its member controls.</t>
        </is>
      </c>
      <c r="F109" s="13" t="inlineStr">
        <is>
          <t>Medium</t>
        </is>
      </c>
      <c r="G109" s="25" t="inlineStr">
        <is>
          <t>Navigation</t>
        </is>
      </c>
      <c r="H109" s="25" t="inlineStr">
        <is>
          <t>Anonymous session.</t>
        </is>
      </c>
      <c r="I109" s="25" t="inlineStr">
        <is>
          <t>None.</t>
        </is>
      </c>
      <c r="J109" s="25" t="inlineStr">
        <is>
          <t>1. Open /kr/auth/register.
2. Click the login link (여기서 로그인하세요).
3. Inspect the login page.</t>
        </is>
      </c>
      <c r="K109"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9" s="13" t="inlineStr">
        <is>
          <t>Automated</t>
        </is>
      </c>
      <c r="M109" s="25" t="inlineStr">
        <is>
          <t>Production-safe</t>
        </is>
      </c>
      <c r="N109" s="25" t="inlineStr">
        <is>
          <t>-</t>
        </is>
      </c>
      <c r="O109" s="25" t="inlineStr">
        <is>
          <t>tests/e2e/storefront/auth/registration.spec.ts</t>
        </is>
      </c>
      <c r="P109" s="25" t="inlineStr">
        <is>
          <t>MS-AUTH-018 login entry is reachable from register</t>
        </is>
      </c>
      <c r="Q109" s="25" t="inlineStr">
        <is>
          <t>@auth @production</t>
        </is>
      </c>
      <c r="R109" s="13" t="n">
        <v>1</v>
      </c>
      <c r="S109" s="25" t="inlineStr">
        <is>
          <t>The link label 여기서 로그인하세요 comes from test-case.md; the code locates it by test id (auth-register-login-link).</t>
        </is>
      </c>
      <c r="T109" s="14" t="inlineStr">
        <is>
          <t>Pass</t>
        </is>
      </c>
      <c r="U109" s="15" t="n"/>
      <c r="V109" s="15" t="inlineStr">
        <is>
          <t>Codex / Playwright</t>
        </is>
      </c>
      <c r="W109" s="15" t="inlineStr">
        <is>
          <t>2026-10-23</t>
        </is>
      </c>
      <c r="X109" s="15" t="inlineStr">
        <is>
          <t>dev-2; retries=0. Full desktop: 1 passed, 0 failed, 0 skipped. See Dev-2 Audit 2026-10-23.</t>
        </is>
      </c>
      <c r="Y109" s="25" t="inlineStr">
        <is>
          <t>MS-V2-085</t>
        </is>
      </c>
    </row>
    <row r="110" ht="150" customHeight="1">
      <c r="A110" s="12" t="inlineStr">
        <is>
          <t>MS-AUTH-019</t>
        </is>
      </c>
      <c r="B110" s="25" t="inlineStr">
        <is>
          <t>Storefront</t>
        </is>
      </c>
      <c r="C110" s="25" t="inlineStr">
        <is>
          <t>8. Sign-in &amp; registration</t>
        </is>
      </c>
      <c r="D110" s="25" t="inlineStr">
        <is>
          <t>Registration</t>
        </is>
      </c>
      <c r="E110" s="25" t="inlineStr">
        <is>
          <t>Registering with an already-registered email opens a sign-in prompt instead of starting a new account.</t>
        </is>
      </c>
      <c r="F110" s="13" t="inlineStr">
        <is>
          <t>High</t>
        </is>
      </c>
      <c r="G110" s="25" t="inlineStr">
        <is>
          <t>Negative</t>
        </is>
      </c>
      <c r="H110" s="25" t="inlineStr">
        <is>
          <t>Anonymous session. AUTH_TEST_EMAIL belongs to an existing member on the environment under test.</t>
        </is>
      </c>
      <c r="I110" s="25" t="inlineStr">
        <is>
          <t>Name: E2E Test User. Email: AUTH_TEST_EMAIL. Password: E2eSuite!2026. Terms agreed.</t>
        </is>
      </c>
      <c r="J110" s="25" t="inlineStr">
        <is>
          <t>1. Open /kr/auth/register.
2. Enter E2E Test User, the seeded member's email and E2eSuite!2026; tick the terms box.
3. Click the submit button.
4. Inspect the modal that opens. Do not complete it.</t>
        </is>
      </c>
      <c r="K110"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10" s="13" t="inlineStr">
        <is>
          <t>Automated</t>
        </is>
      </c>
      <c r="M110" s="25" t="inlineStr">
        <is>
          <t>Production-safe</t>
        </is>
      </c>
      <c r="N110" s="25" t="inlineStr">
        <is>
          <t>AUTH_TEST_EMAIL</t>
        </is>
      </c>
      <c r="O110" s="25" t="inlineStr">
        <is>
          <t>tests/e2e/storefront/auth/registration.spec.ts</t>
        </is>
      </c>
      <c r="P110" s="25" t="inlineStr">
        <is>
          <t>MS-AUTH-019 registering an existing email offers sign-in instead of a duplicate account @credentialed</t>
        </is>
      </c>
      <c r="Q110" s="25" t="inlineStr">
        <is>
          <t>@auth @production @credentialed</t>
        </is>
      </c>
      <c r="R110" s="13" t="n">
        <v>1</v>
      </c>
      <c r="S110" s="25" t="inlineStr">
        <is>
          <t>The verification endpoint answers 200 with email_already_taken. The modal is never completed, so no session or account is created. Only AUTH_TEST_EMAIL is needed (no password).</t>
        </is>
      </c>
      <c r="T110" s="14" t="inlineStr">
        <is>
          <t>Pass</t>
        </is>
      </c>
      <c r="U110" s="15" t="n"/>
      <c r="V110" s="15" t="inlineStr">
        <is>
          <t>Codex / Playwright</t>
        </is>
      </c>
      <c r="W110" s="15" t="inlineStr">
        <is>
          <t>2026-10-23</t>
        </is>
      </c>
      <c r="X110" s="15" t="inlineStr">
        <is>
          <t>dev-2; retries=0. Full desktop: 1 passed, 0 failed, 0 skipped. See Dev-2 Audit 2026-10-23.</t>
        </is>
      </c>
      <c r="Y110" s="25" t="inlineStr">
        <is>
          <t>MS-V2-086</t>
        </is>
      </c>
    </row>
    <row r="111" ht="150" customHeight="1">
      <c r="A111" s="12" t="inlineStr">
        <is>
          <t>MS-AUTH-020</t>
        </is>
      </c>
      <c r="B111" s="25" t="inlineStr">
        <is>
          <t>Storefront</t>
        </is>
      </c>
      <c r="C111" s="25" t="inlineStr">
        <is>
          <t>8. Sign-in &amp; registration</t>
        </is>
      </c>
      <c r="D111" s="25" t="inlineStr">
        <is>
          <t>Registration</t>
        </is>
      </c>
      <c r="E111" s="25" t="inlineStr">
        <is>
          <t>Entering a wrong emailed verification code during registration is rejected and creates no account.</t>
        </is>
      </c>
      <c r="F111" s="13" t="inlineStr">
        <is>
          <t>High</t>
        </is>
      </c>
      <c r="G111" s="25" t="inlineStr">
        <is>
          <t>Negative</t>
        </is>
      </c>
      <c r="H111" s="25" t="inlineStr">
        <is>
          <t>Dev environment (not production). Anonymous session. Internet access to api.mail.tm. Test timeout 120 s.</t>
        </is>
      </c>
      <c r="I111" s="25" t="inlineStr">
        <is>
          <t>New mail.tm inbox. Name: E2E Test User. Password: E2eSuite!2026. Wrong code: 1111 (or 2222 if the real code is 1111).</t>
        </is>
      </c>
      <c r="J111"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11"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11" s="13" t="inlineStr">
        <is>
          <t>Automated</t>
        </is>
      </c>
      <c r="M111" s="25" t="inlineStr">
        <is>
          <t>Dev only</t>
        </is>
      </c>
      <c r="N111" s="25" t="inlineStr">
        <is>
          <t>RUN_AUTH_DESTRUCTIVE_E2E=true; api.mail.tm reachable</t>
        </is>
      </c>
      <c r="O111" s="25" t="inlineStr">
        <is>
          <t>tests/e2e/storefront/auth/registration.spec.ts</t>
        </is>
      </c>
      <c r="P111" s="25" t="inlineStr">
        <is>
          <t>MS-AUTH-020 a wrong verification code is rejected and creates no account</t>
        </is>
      </c>
      <c r="Q111" s="25" t="inlineStr">
        <is>
          <t>@auth @production @destructive @slow</t>
        </is>
      </c>
      <c r="R111" s="13" t="n">
        <v>1</v>
      </c>
      <c r="S111"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11" s="14" t="inlineStr">
        <is>
          <t>Not Run</t>
        </is>
      </c>
      <c r="U111" s="15" t="n"/>
      <c r="V111" s="15" t="n"/>
      <c r="W111" s="15" t="n"/>
      <c r="X111" s="15" t="n"/>
      <c r="Y111" s="25" t="inlineStr">
        <is>
          <t>MS-V2-087</t>
        </is>
      </c>
    </row>
    <row r="112" ht="150" customHeight="1">
      <c r="A112" s="12" t="inlineStr">
        <is>
          <t>MS-AUTH-021</t>
        </is>
      </c>
      <c r="B112" s="25" t="inlineStr">
        <is>
          <t>Storefront</t>
        </is>
      </c>
      <c r="C112" s="25" t="inlineStr">
        <is>
          <t>8. Sign-in &amp; registration</t>
        </is>
      </c>
      <c r="D112" s="25" t="inlineStr">
        <is>
          <t>Registration</t>
        </is>
      </c>
      <c r="E112" s="25" t="inlineStr">
        <is>
          <t>Entering the correct emailed code creates the account, signs the new member in and lands on profile onboarding.</t>
        </is>
      </c>
      <c r="F112" s="13" t="inlineStr">
        <is>
          <t>Critical</t>
        </is>
      </c>
      <c r="G112" s="25" t="inlineStr">
        <is>
          <t>Positive</t>
        </is>
      </c>
      <c r="H112" s="25" t="inlineStr">
        <is>
          <t>Dev environment (not production). Anonymous session. Internet access to api.mail.tm. Test timeout 120 s.</t>
        </is>
      </c>
      <c r="I112" s="25" t="inlineStr">
        <is>
          <t>New mail.tm inbox. Name: E2E Test User. Password: E2eSuite!2026. Expected sender: system@musticker.com.</t>
        </is>
      </c>
      <c r="J112"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12"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12" s="13" t="inlineStr">
        <is>
          <t>Automated</t>
        </is>
      </c>
      <c r="M112" s="25" t="inlineStr">
        <is>
          <t>Dev only</t>
        </is>
      </c>
      <c r="N112" s="25" t="inlineStr">
        <is>
          <t>RUN_AUTH_DESTRUCTIVE_E2E=true; api.mail.tm reachable; optional TEST_DATA_USER_DELETE_ENDPOINT (+ API_TOKEN) for cleanup</t>
        </is>
      </c>
      <c r="O112" s="25" t="inlineStr">
        <is>
          <t>tests/e2e/storefront/auth/registration.spec.ts</t>
        </is>
      </c>
      <c r="P112" s="25" t="inlineStr">
        <is>
          <t>MS-AUTH-021 a correct verification code creates the account and signs the new member in</t>
        </is>
      </c>
      <c r="Q112" s="25" t="inlineStr">
        <is>
          <t>@auth @production @destructive @slow</t>
        </is>
      </c>
      <c r="R112" s="13" t="n">
        <v>1</v>
      </c>
      <c r="S112" s="25" t="inlineStr">
        <is>
          <t>Discrepancy: test-case.md says the account needs no cleanup; the code records it (createdBy MS-AUTH-021)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12" s="14" t="inlineStr">
        <is>
          <t>Not Run</t>
        </is>
      </c>
      <c r="U112" s="15" t="n"/>
      <c r="V112" s="15" t="n"/>
      <c r="W112" s="15" t="n"/>
      <c r="X112" s="15" t="n"/>
      <c r="Y112" s="25" t="inlineStr">
        <is>
          <t>MS-V2-088</t>
        </is>
      </c>
    </row>
    <row r="113" ht="150" customHeight="1">
      <c r="A113" s="12" t="inlineStr">
        <is>
          <t>MS-AUTH-022</t>
        </is>
      </c>
      <c r="B113" s="25" t="inlineStr">
        <is>
          <t>Storefront</t>
        </is>
      </c>
      <c r="C113" s="25" t="inlineStr">
        <is>
          <t>8. Sign-in &amp; registration</t>
        </is>
      </c>
      <c r="D113" s="25" t="inlineStr">
        <is>
          <t>Change password</t>
        </is>
      </c>
      <c r="E113" s="25" t="inlineStr">
        <is>
          <t>The account profile page shows the member summary and the change-password section with three masked fields, submit, recovery entry and policy text.</t>
        </is>
      </c>
      <c r="F113" s="13" t="inlineStr">
        <is>
          <t>Critical</t>
        </is>
      </c>
      <c r="G113" s="25" t="inlineStr">
        <is>
          <t>Smoke</t>
        </is>
      </c>
      <c r="H113" s="25" t="inlineStr">
        <is>
          <t>Seeded member signed in (API session, not the login form).</t>
        </is>
      </c>
      <c r="I113" s="25" t="inlineStr">
        <is>
          <t>Member: AUTH_TEST_EMAIL / AUTH_TEST_PASSWORD.</t>
        </is>
      </c>
      <c r="J113" s="25" t="inlineStr">
        <is>
          <t>1. Sign in as the seeded member.
2. Open /kr/account/profile and wait for the page to become interactive.
3. Check the account shell and summary.
4. Check the 비밀번호 section.</t>
        </is>
      </c>
      <c r="K113"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MS-AUTH-022 account profile exposes the password change controls @smoke</t>
        </is>
      </c>
      <c r="Q113" s="25" t="inlineStr">
        <is>
          <t>@auth @production @credentialed @smoke</t>
        </is>
      </c>
      <c r="R113" s="13" t="n">
        <v>1</v>
      </c>
      <c r="S113" s="25" t="inlineStr">
        <is>
          <t>Read-only. Page load toggles the current-password visibility once to confirm hydration and restores it to masked.</t>
        </is>
      </c>
      <c r="T113" s="14" t="inlineStr">
        <is>
          <t>Pass</t>
        </is>
      </c>
      <c r="U113" s="15" t="n"/>
      <c r="V113" s="15" t="inlineStr">
        <is>
          <t>Codex / Playwright</t>
        </is>
      </c>
      <c r="W113" s="15" t="inlineStr">
        <is>
          <t>2026-10-23</t>
        </is>
      </c>
      <c r="X113" s="15" t="inlineStr">
        <is>
          <t>dev-2; retries=0. Full desktop: 1 passed, 0 failed, 0 skipped. See Dev-2 Audit 2026-10-23.</t>
        </is>
      </c>
      <c r="Y113" s="25" t="inlineStr">
        <is>
          <t>MS-V2-089</t>
        </is>
      </c>
    </row>
    <row r="114" ht="150" customHeight="1">
      <c r="A114" s="12" t="inlineStr">
        <is>
          <t>MS-AUTH-023</t>
        </is>
      </c>
      <c r="B114" s="25" t="inlineStr">
        <is>
          <t>Storefront</t>
        </is>
      </c>
      <c r="C114" s="25" t="inlineStr">
        <is>
          <t>8. Sign-in &amp; registration</t>
        </is>
      </c>
      <c r="D114" s="25" t="inlineStr">
        <is>
          <t>Change password</t>
        </is>
      </c>
      <c r="E114" s="25" t="inlineStr">
        <is>
          <t>The 비밀번호 변경 button stays disabled until current, new and confirm password are all filled.</t>
        </is>
      </c>
      <c r="F114" s="13" t="inlineStr">
        <is>
          <t>High</t>
        </is>
      </c>
      <c r="G114" s="25" t="inlineStr">
        <is>
          <t>Validation</t>
        </is>
      </c>
      <c r="H114" s="25" t="inlineStr">
        <is>
          <t>Seeded member signed in (API session). /kr/account/profile open.</t>
        </is>
      </c>
      <c r="I114" s="25" t="inlineStr">
        <is>
          <t>Current: AUTH_TEST_PASSWORD. New and confirm: E2eSuite!2027.</t>
        </is>
      </c>
      <c r="J114" s="25" t="inlineStr">
        <is>
          <t>1. Open /kr/account/profile as the seeded member.
2. Check the 비밀번호 변경 button with all fields empty.
3. Fill the current password field.
4. Fill the new password field.
5. Fill the confirm password field.</t>
        </is>
      </c>
      <c r="K114" s="25" t="inlineStr">
        <is>
          <t>The button is disabled after steps 2, 3 and 4, and becomes enabled after step 5. Suite guard: no unexpected console errors or HTTP 4xx/5xx.</t>
        </is>
      </c>
      <c r="L114" s="13" t="inlineStr">
        <is>
          <t>Automated</t>
        </is>
      </c>
      <c r="M114" s="25" t="inlineStr">
        <is>
          <t>Production-safe</t>
        </is>
      </c>
      <c r="N114" s="25" t="inlineStr">
        <is>
          <t>AUTH_TEST_EMAIL/AUTH_TEST_PASSWORD</t>
        </is>
      </c>
      <c r="O114" s="25" t="inlineStr">
        <is>
          <t>tests/e2e/storefront/auth/change-password.spec.ts</t>
        </is>
      </c>
      <c r="P114" s="25" t="inlineStr">
        <is>
          <t>MS-AUTH-023 change password stays disabled until every field is filled @validation</t>
        </is>
      </c>
      <c r="Q114" s="25" t="inlineStr">
        <is>
          <t>@auth @production @credentialed @validation</t>
        </is>
      </c>
      <c r="R114" s="13" t="n">
        <v>1</v>
      </c>
      <c r="S114" s="25" t="inlineStr">
        <is>
          <t>Nothing is submitted. Manual testers: do not click the enabled button here, since it would change the seeded member's password.</t>
        </is>
      </c>
      <c r="T114" s="14" t="inlineStr">
        <is>
          <t>Pass</t>
        </is>
      </c>
      <c r="U114" s="15" t="n"/>
      <c r="V114" s="15" t="inlineStr">
        <is>
          <t>Codex / Playwright</t>
        </is>
      </c>
      <c r="W114" s="15" t="inlineStr">
        <is>
          <t>2026-10-23</t>
        </is>
      </c>
      <c r="X114" s="15" t="inlineStr">
        <is>
          <t>dev-2; retries=0. Full desktop: 1 passed, 0 failed, 0 skipped. See Dev-2 Audit 2026-10-23.</t>
        </is>
      </c>
      <c r="Y114" s="25" t="inlineStr">
        <is>
          <t>MS-V2-090</t>
        </is>
      </c>
    </row>
    <row r="115" ht="150" customHeight="1">
      <c r="A115" s="12" t="inlineStr">
        <is>
          <t>MS-AUTH-024</t>
        </is>
      </c>
      <c r="B115" s="25" t="inlineStr">
        <is>
          <t>Storefront</t>
        </is>
      </c>
      <c r="C115" s="25" t="inlineStr">
        <is>
          <t>8. Sign-in &amp; registration</t>
        </is>
      </c>
      <c r="D115" s="25" t="inlineStr">
        <is>
          <t>Change password</t>
        </is>
      </c>
      <c r="E115" s="25" t="inlineStr">
        <is>
          <t>A change-password attempt whose confirmation does not match the new password is rejected with a mismatch error.</t>
        </is>
      </c>
      <c r="F115" s="13" t="inlineStr">
        <is>
          <t>Critical</t>
        </is>
      </c>
      <c r="G115" s="25" t="inlineStr">
        <is>
          <t>Validation</t>
        </is>
      </c>
      <c r="H115" s="25" t="inlineStr">
        <is>
          <t>Seeded member signed in (API session). /kr/account/profile open.</t>
        </is>
      </c>
      <c r="I115" s="25" t="inlineStr">
        <is>
          <t>Current: AUTH_TEST_PASSWORD (correct). New: E2eSuite!2027. Confirm: E2eSuite!2027-different.</t>
        </is>
      </c>
      <c r="J115" s="25" t="inlineStr">
        <is>
          <t>1. Open /kr/account/profile as the seeded member.
2. Enter the correct current password.
3. Enter E2eSuite!2027 as the new password and E2eSuite!2027-different as the confirmation.
4. Click 비밀번호 변경 and wait for the /sys/kr/profile/password response.</t>
        </is>
      </c>
      <c r="K115" s="25" t="inlineStr">
        <is>
          <t>A field error in the password section reads 비밀번호가 일치하지 않습니다. Suite guard: no unexpected console errors or HTTP 4xx/5xx.</t>
        </is>
      </c>
      <c r="L115" s="13" t="inlineStr">
        <is>
          <t>Automated</t>
        </is>
      </c>
      <c r="M115" s="25" t="inlineStr">
        <is>
          <t>Production-safe</t>
        </is>
      </c>
      <c r="N115" s="25" t="inlineStr">
        <is>
          <t>AUTH_TEST_EMAIL/AUTH_TEST_PASSWORD</t>
        </is>
      </c>
      <c r="O115" s="25" t="inlineStr">
        <is>
          <t>tests/e2e/storefront/auth/change-password.spec.ts</t>
        </is>
      </c>
      <c r="P115" s="25" t="inlineStr">
        <is>
          <t>MS-AUTH-024 a mismatched confirmation is rejected @validation</t>
        </is>
      </c>
      <c r="Q115" s="25" t="inlineStr">
        <is>
          <t>@auth @production @credentialed @validation</t>
        </is>
      </c>
      <c r="R115" s="13" t="n">
        <v>1</v>
      </c>
      <c r="S115"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5" s="14" t="inlineStr">
        <is>
          <t>Pass</t>
        </is>
      </c>
      <c r="U115" s="15" t="n"/>
      <c r="V115" s="15" t="inlineStr">
        <is>
          <t>Codex / Playwright</t>
        </is>
      </c>
      <c r="W115" s="15" t="inlineStr">
        <is>
          <t>2026-10-23</t>
        </is>
      </c>
      <c r="X115" s="15" t="inlineStr">
        <is>
          <t>dev-2; retries=0. Full desktop: 1 passed, 0 failed, 0 skipped. See Dev-2 Audit 2026-10-23.</t>
        </is>
      </c>
      <c r="Y115" s="25" t="inlineStr">
        <is>
          <t>MS-V2-091</t>
        </is>
      </c>
    </row>
    <row r="116" ht="150" customHeight="1">
      <c r="A116" s="12" t="inlineStr">
        <is>
          <t>MS-AUTH-025</t>
        </is>
      </c>
      <c r="B116" s="25" t="inlineStr">
        <is>
          <t>Storefront</t>
        </is>
      </c>
      <c r="C116" s="25" t="inlineStr">
        <is>
          <t>8. Sign-in &amp; registration</t>
        </is>
      </c>
      <c r="D116" s="25" t="inlineStr">
        <is>
          <t>Change password</t>
        </is>
      </c>
      <c r="E116" s="25" t="inlineStr">
        <is>
          <t>A new password that does not meet the password policy is rejected.</t>
        </is>
      </c>
      <c r="F116" s="13" t="inlineStr">
        <is>
          <t>High</t>
        </is>
      </c>
      <c r="G116" s="25" t="inlineStr">
        <is>
          <t>Validation</t>
        </is>
      </c>
      <c r="H116" s="25" t="inlineStr">
        <is>
          <t>Seeded member signed in (API session). /kr/account/profile open.</t>
        </is>
      </c>
      <c r="I116" s="25" t="inlineStr">
        <is>
          <t>Current: AUTH_TEST_PASSWORD (correct). New and confirm: abc.</t>
        </is>
      </c>
      <c r="J116" s="25" t="inlineStr">
        <is>
          <t>1. Open /kr/account/profile as the seeded member.
2. Enter the correct current password.
3. Enter abc as both the new password and the confirmation.
4. Click 비밀번호 변경 and wait for the /sys/kr/profile/password response.</t>
        </is>
      </c>
      <c r="K116" s="25" t="inlineStr">
        <is>
          <t>A field error in the password section reads 비밀번호가 설정 요구사항을 충족하지 않습니다. Suite guard: no unexpected console errors or HTTP 4xx/5xx.</t>
        </is>
      </c>
      <c r="L116" s="13" t="inlineStr">
        <is>
          <t>Automated</t>
        </is>
      </c>
      <c r="M116" s="25" t="inlineStr">
        <is>
          <t>Production-safe</t>
        </is>
      </c>
      <c r="N116" s="25" t="inlineStr">
        <is>
          <t>AUTH_TEST_EMAIL/AUTH_TEST_PASSWORD</t>
        </is>
      </c>
      <c r="O116" s="25" t="inlineStr">
        <is>
          <t>tests/e2e/storefront/auth/change-password.spec.ts</t>
        </is>
      </c>
      <c r="P116" s="25" t="inlineStr">
        <is>
          <t>MS-AUTH-025 a new password below the policy is rejected @validation</t>
        </is>
      </c>
      <c r="Q116" s="25" t="inlineStr">
        <is>
          <t>@auth @production @credentialed @validation</t>
        </is>
      </c>
      <c r="R116" s="13" t="n">
        <v>1</v>
      </c>
      <c r="S116" s="25" t="inlineStr">
        <is>
          <t>Wording differs from the register form's 비밀번호가 요구 사항을 충족하지 않습니다. The request is sent with the real current password (HTTP 200 with the reason in the body).</t>
        </is>
      </c>
      <c r="T116" s="14" t="inlineStr">
        <is>
          <t>Pass</t>
        </is>
      </c>
      <c r="U116" s="15" t="n"/>
      <c r="V116" s="15" t="inlineStr">
        <is>
          <t>Codex / Playwright</t>
        </is>
      </c>
      <c r="W116" s="15" t="inlineStr">
        <is>
          <t>2026-10-23</t>
        </is>
      </c>
      <c r="X116" s="15" t="inlineStr">
        <is>
          <t>dev-2; retries=0. Full desktop: 1 passed, 0 failed, 0 skipped. See Dev-2 Audit 2026-10-23.</t>
        </is>
      </c>
      <c r="Y116" s="25" t="inlineStr">
        <is>
          <t>MS-V2-092</t>
        </is>
      </c>
    </row>
    <row r="117" ht="150" customHeight="1">
      <c r="A117" s="12" t="inlineStr">
        <is>
          <t>MS-AUTH-026</t>
        </is>
      </c>
      <c r="B117" s="25" t="inlineStr">
        <is>
          <t>Storefront</t>
        </is>
      </c>
      <c r="C117" s="25" t="inlineStr">
        <is>
          <t>8. Sign-in &amp; registration</t>
        </is>
      </c>
      <c r="D117" s="25" t="inlineStr">
        <is>
          <t>Change password</t>
        </is>
      </c>
      <c r="E117" s="25" t="inlineStr">
        <is>
          <t>A change-password attempt with a wrong current password is rejected.</t>
        </is>
      </c>
      <c r="F117" s="13" t="inlineStr">
        <is>
          <t>Critical</t>
        </is>
      </c>
      <c r="G117" s="25" t="inlineStr">
        <is>
          <t>Negative</t>
        </is>
      </c>
      <c r="H117" s="25" t="inlineStr">
        <is>
          <t>Seeded member signed in (API session). /kr/account/profile open.</t>
        </is>
      </c>
      <c r="I117" s="25" t="inlineStr">
        <is>
          <t>Current: DefinitelyNotTheCurrentPassword!9 (wrong). New and confirm: E2eSuite!2027.</t>
        </is>
      </c>
      <c r="J117" s="25" t="inlineStr">
        <is>
          <t>1. Open /kr/account/profile as the seeded member.
2. Enter DefinitelyNotTheCurrentPassword!9 as the current password.
3. Enter E2eSuite!2027 as the new password and confirmation.
4. Click 비밀번호 변경 and wait for the /sys/kr/profile/password response.</t>
        </is>
      </c>
      <c r="K117" s="25" t="inlineStr">
        <is>
          <t>A field error in the password section reads 비밀번호가 올바르지 않습니다. Suite guard: no unexpected console errors or HTTP 4xx/5xx.</t>
        </is>
      </c>
      <c r="L117" s="13" t="inlineStr">
        <is>
          <t>Automated</t>
        </is>
      </c>
      <c r="M117" s="25" t="inlineStr">
        <is>
          <t>Production-safe</t>
        </is>
      </c>
      <c r="N117" s="25" t="inlineStr">
        <is>
          <t>AUTH_TEST_EMAIL/AUTH_TEST_PASSWORD</t>
        </is>
      </c>
      <c r="O117" s="25" t="inlineStr">
        <is>
          <t>tests/e2e/storefront/auth/change-password.spec.ts</t>
        </is>
      </c>
      <c r="P117" s="25" t="inlineStr">
        <is>
          <t>MS-AUTH-026 a wrong current password is rejected @validation</t>
        </is>
      </c>
      <c r="Q117" s="25" t="inlineStr">
        <is>
          <t>@auth @production @credentialed @validation</t>
        </is>
      </c>
      <c r="R117" s="13" t="n">
        <v>1</v>
      </c>
      <c r="S117" s="25" t="inlineStr">
        <is>
          <t>test-case.md says the credential is not changed; the code only checks the error message, it does not re-verify the old password afterwards.</t>
        </is>
      </c>
      <c r="T117" s="14" t="inlineStr">
        <is>
          <t>Pass</t>
        </is>
      </c>
      <c r="U117" s="15" t="n"/>
      <c r="V117" s="15" t="inlineStr">
        <is>
          <t>Codex / Playwright</t>
        </is>
      </c>
      <c r="W117" s="15" t="inlineStr">
        <is>
          <t>2026-10-23</t>
        </is>
      </c>
      <c r="X117" s="15" t="inlineStr">
        <is>
          <t>dev-2; retries=0. Full desktop: 1 passed, 0 failed, 0 skipped. See Dev-2 Audit 2026-10-23.</t>
        </is>
      </c>
      <c r="Y117" s="25" t="inlineStr">
        <is>
          <t>MS-V2-093</t>
        </is>
      </c>
    </row>
    <row r="118" ht="150" customHeight="1">
      <c r="A118" s="12" t="inlineStr">
        <is>
          <t>MS-AUTH-027</t>
        </is>
      </c>
      <c r="B118" s="25" t="inlineStr">
        <is>
          <t>Storefront</t>
        </is>
      </c>
      <c r="C118" s="25" t="inlineStr">
        <is>
          <t>8. Sign-in &amp; registration</t>
        </is>
      </c>
      <c r="D118" s="25" t="inlineStr">
        <is>
          <t>Change password</t>
        </is>
      </c>
      <c r="E118" s="25" t="inlineStr">
        <is>
          <t>Changing a password really rotates the credential: the new password logs in and the old one is refused.</t>
        </is>
      </c>
      <c r="F118" s="13" t="inlineStr">
        <is>
          <t>Critical</t>
        </is>
      </c>
      <c r="G118" s="25" t="inlineStr">
        <is>
          <t>Positive</t>
        </is>
      </c>
      <c r="H118" s="25" t="inlineStr">
        <is>
          <t>Dev environment (not production). Anonymous session. Internet access to api.mail.tm. Test timeout 180 s.</t>
        </is>
      </c>
      <c r="I118" s="25" t="inlineStr">
        <is>
          <t>Throwaway account: name E2E Test User, email = new mail.tm inbox, password E2eSuite!2026, rotated to E2eSuite!2027.</t>
        </is>
      </c>
      <c r="J118"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8"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8" s="13" t="inlineStr">
        <is>
          <t>Automated</t>
        </is>
      </c>
      <c r="M118" s="25" t="inlineStr">
        <is>
          <t>Dev only</t>
        </is>
      </c>
      <c r="N118" s="25" t="inlineStr">
        <is>
          <t>RUN_AUTH_DESTRUCTIVE_E2E=true; api.mail.tm reachable; optional TEST_DATA_USER_DELETE_ENDPOINT (+ API_TOKEN) for cleanup</t>
        </is>
      </c>
      <c r="O118" s="25" t="inlineStr">
        <is>
          <t>tests/e2e/storefront/auth/change-password.spec.ts</t>
        </is>
      </c>
      <c r="P118" s="25" t="inlineStr">
        <is>
          <t>MS-AUTH-027 changing a password rotates the credential end to end</t>
        </is>
      </c>
      <c r="Q118" s="25" t="inlineStr">
        <is>
          <t>@auth @production @destructive @slow</t>
        </is>
      </c>
      <c r="R118" s="13" t="n">
        <v>1</v>
      </c>
      <c r="S118" s="25" t="inlineStr">
        <is>
          <t>Creates a real member account. It is recorded (createdBy MS-AUTH-027)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8" s="14" t="inlineStr">
        <is>
          <t>Not Run</t>
        </is>
      </c>
      <c r="U118" s="15" t="n"/>
      <c r="V118" s="15" t="n"/>
      <c r="W118" s="15" t="n"/>
      <c r="X118" s="15" t="n"/>
      <c r="Y118" s="25" t="inlineStr">
        <is>
          <t>MS-V2-094</t>
        </is>
      </c>
    </row>
    <row r="119" ht="150" customHeight="1">
      <c r="A119" s="12" t="inlineStr">
        <is>
          <t>MS-AUTH-028</t>
        </is>
      </c>
      <c r="B119" s="25" t="inlineStr">
        <is>
          <t>Storefront</t>
        </is>
      </c>
      <c r="C119" s="25" t="inlineStr">
        <is>
          <t>8. Sign-in &amp; registration</t>
        </is>
      </c>
      <c r="D119" s="25" t="inlineStr">
        <is>
          <t>Login</t>
        </is>
      </c>
      <c r="E119" s="25" t="inlineStr">
        <is>
          <t>An anonymous visitor who opens a member-only account URL does not see the account page and is sent elsewhere.</t>
        </is>
      </c>
      <c r="F119" s="13" t="inlineStr">
        <is>
          <t>Critical</t>
        </is>
      </c>
      <c r="G119" s="25" t="inlineStr">
        <is>
          <t>Security</t>
        </is>
      </c>
      <c r="H119" s="25" t="inlineStr">
        <is>
          <t>Anonymous session.</t>
        </is>
      </c>
      <c r="I119" s="25" t="inlineStr">
        <is>
          <t>URL: /kr/account/profile.</t>
        </is>
      </c>
      <c r="J119" s="25" t="inlineStr">
        <is>
          <t>1. Start from a fresh browser session with no login.
2. Open /kr/account/profile directly by URL.
3. Check the page content and the final URL after any redirect.</t>
        </is>
      </c>
      <c r="K119" s="25" t="inlineStr">
        <is>
          <t>The account profile page (account-profile-page) is never rendered, and the final URL is not /kr/account/profile. Suite guard: no unexpected console errors or HTTP 4xx/5xx.</t>
        </is>
      </c>
      <c r="L119" s="13" t="inlineStr">
        <is>
          <t>Automated</t>
        </is>
      </c>
      <c r="M119" s="25" t="inlineStr">
        <is>
          <t>Production-safe</t>
        </is>
      </c>
      <c r="N119" s="25" t="inlineStr">
        <is>
          <t>-</t>
        </is>
      </c>
      <c r="O119" s="25" t="inlineStr">
        <is>
          <t>tests/e2e/storefront/auth/login.spec.ts</t>
        </is>
      </c>
      <c r="P119" s="25" t="inlineStr">
        <is>
          <t>MS-AUTH-028 a member-only route is not reachable anonymously</t>
        </is>
      </c>
      <c r="Q119" s="25" t="inlineStr">
        <is>
          <t>@auth @production</t>
        </is>
      </c>
      <c r="R119" s="13" t="n">
        <v>1</v>
      </c>
      <c r="S119" s="25" t="inlineStr">
        <is>
          <t>On development-1 the app redirects to the storefront home, not to login; the test accepts either destination. Only /kr/account/profile is checked.</t>
        </is>
      </c>
      <c r="T119" s="14" t="inlineStr">
        <is>
          <t>Pass</t>
        </is>
      </c>
      <c r="U119" s="15" t="n"/>
      <c r="V119" s="15" t="inlineStr">
        <is>
          <t>Codex / Playwright</t>
        </is>
      </c>
      <c r="W119" s="15" t="inlineStr">
        <is>
          <t>2026-10-23</t>
        </is>
      </c>
      <c r="X119" s="15" t="inlineStr">
        <is>
          <t>dev-2; retries=0. Full desktop: 1 passed, 0 failed, 0 skipped. See Dev-2 Audit 2026-10-23.</t>
        </is>
      </c>
      <c r="Y119" s="25" t="inlineStr">
        <is>
          <t>MS-V2-095</t>
        </is>
      </c>
    </row>
    <row r="120" ht="150" customHeight="1">
      <c r="A120" s="12" t="inlineStr">
        <is>
          <t>MS-AUTH-029</t>
        </is>
      </c>
      <c r="B120" s="25" t="inlineStr">
        <is>
          <t>Storefront</t>
        </is>
      </c>
      <c r="C120" s="25" t="inlineStr">
        <is>
          <t>8. Sign-in &amp; registration</t>
        </is>
      </c>
      <c r="D120" s="25" t="inlineStr">
        <is>
          <t>Guest order lookup</t>
        </is>
      </c>
      <c r="E120" s="25" t="inlineStr">
        <is>
          <t>Switching the login page to non-member mode replaces the password form with an email and order-number lookup.</t>
        </is>
      </c>
      <c r="F120" s="13" t="inlineStr">
        <is>
          <t>Medium</t>
        </is>
      </c>
      <c r="G120" s="25" t="inlineStr">
        <is>
          <t>UI</t>
        </is>
      </c>
      <c r="H120" s="25" t="inlineStr">
        <is>
          <t>Anonymous session.</t>
        </is>
      </c>
      <c r="I120" s="25" t="inlineStr">
        <is>
          <t>None.</t>
        </is>
      </c>
      <c r="J120" s="25" t="inlineStr">
        <is>
          <t>1. Open /kr/auth/login.
2. Click the 비회원 (non-member) mode button.
3. Inspect the form.</t>
        </is>
      </c>
      <c r="K120" s="25" t="inlineStr">
        <is>
          <t>The non-member email field, order-number field and lookup button are visible; the member form and member password field are gone (count 0); the non-member email field has type=email. Suite guard: no unexpected console errors or HTTP 4xx/5xx.</t>
        </is>
      </c>
      <c r="L120" s="13" t="inlineStr">
        <is>
          <t>Automated</t>
        </is>
      </c>
      <c r="M120" s="25" t="inlineStr">
        <is>
          <t>Production-safe</t>
        </is>
      </c>
      <c r="N120" s="25" t="inlineStr">
        <is>
          <t>-</t>
        </is>
      </c>
      <c r="O120" s="25" t="inlineStr">
        <is>
          <t>tests/e2e/storefront/auth/guest-order-lookup.spec.ts</t>
        </is>
      </c>
      <c r="P120" s="25" t="inlineStr">
        <is>
          <t>MS-AUTH-029 non-member mode swaps in the guest order-lookup form</t>
        </is>
      </c>
      <c r="Q120" s="25" t="inlineStr">
        <is>
          <t>@auth @production</t>
        </is>
      </c>
      <c r="R120" s="13" t="n">
        <v>1</v>
      </c>
      <c r="S120" s="25" t="inlineStr">
        <is>
          <t>Nothing is submitted; actual lookups are MS-AUTH-030 to MS-AUTH-032.</t>
        </is>
      </c>
      <c r="T120" s="14" t="inlineStr">
        <is>
          <t>Pass</t>
        </is>
      </c>
      <c r="U120" s="15" t="n"/>
      <c r="V120" s="15" t="inlineStr">
        <is>
          <t>Codex / Playwright</t>
        </is>
      </c>
      <c r="W120" s="15" t="inlineStr">
        <is>
          <t>2026-10-23</t>
        </is>
      </c>
      <c r="X120" s="15" t="inlineStr">
        <is>
          <t>dev-2; retries=0. Full desktop: 1 passed, 0 failed, 0 skipped. See Dev-2 Audit 2026-10-23.</t>
        </is>
      </c>
      <c r="Y120" s="25" t="inlineStr">
        <is>
          <t>MS-V2-096</t>
        </is>
      </c>
    </row>
    <row r="121" ht="150" customHeight="1">
      <c r="A121" s="12" t="inlineStr">
        <is>
          <t>MS-AUTH-030</t>
        </is>
      </c>
      <c r="B121" s="25" t="inlineStr">
        <is>
          <t>Storefront</t>
        </is>
      </c>
      <c r="C121" s="25" t="inlineStr">
        <is>
          <t>8. Sign-in &amp; registration</t>
        </is>
      </c>
      <c r="D121" s="25" t="inlineStr">
        <is>
          <t>Guest order lookup</t>
        </is>
      </c>
      <c r="E121" s="25" t="inlineStr">
        <is>
          <t>Guest order lookup refuses an unknown order number and leaves the visitor anonymous on the login page.</t>
        </is>
      </c>
      <c r="F121" s="13" t="inlineStr">
        <is>
          <t>High</t>
        </is>
      </c>
      <c r="G121" s="25" t="inlineStr">
        <is>
          <t>Negative</t>
        </is>
      </c>
      <c r="H121" s="25" t="inlineStr">
        <is>
          <t>Anonymous session.</t>
        </is>
      </c>
      <c r="I121" s="25" t="inlineStr">
        <is>
          <t>Email: invalid-login-e2e@example.com (never registered). Order number: AO-000000-E2E-NOPE.</t>
        </is>
      </c>
      <c r="J121" s="25" t="inlineStr">
        <is>
          <t>1. Open /kr/auth/login.
2. Switch to 비회원 (non-member) mode.
3. Enter invalid-login-e2e@example.com and AO-000000-E2E-NOPE.
4. Click the lookup submit button and wait for the POST /sys/kr/auth/login/guest/verification response.</t>
        </is>
      </c>
      <c r="K121"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21" s="13" t="inlineStr">
        <is>
          <t>Automated</t>
        </is>
      </c>
      <c r="M121" s="25" t="inlineStr">
        <is>
          <t>Production-safe</t>
        </is>
      </c>
      <c r="N121" s="25" t="inlineStr">
        <is>
          <t>-</t>
        </is>
      </c>
      <c r="O121" s="25" t="inlineStr">
        <is>
          <t>tests/e2e/storefront/auth/guest-order-lookup.spec.ts</t>
        </is>
      </c>
      <c r="P121" s="25" t="inlineStr">
        <is>
          <t>MS-AUTH-030 an unknown order number is refused without signing anyone in</t>
        </is>
      </c>
      <c r="Q121" s="25" t="inlineStr">
        <is>
          <t>@auth @production @validation</t>
        </is>
      </c>
      <c r="R121" s="13" t="n">
        <v>1</v>
      </c>
      <c r="S121" s="25" t="inlineStr">
        <is>
          <t>The endpoint answers HTTP 200 with the refusal in the body. No email is sent and no order is exposed.</t>
        </is>
      </c>
      <c r="T121" s="14" t="inlineStr">
        <is>
          <t>Pass</t>
        </is>
      </c>
      <c r="U121" s="15" t="n"/>
      <c r="V121" s="15" t="inlineStr">
        <is>
          <t>Codex / Playwright</t>
        </is>
      </c>
      <c r="W121" s="15" t="inlineStr">
        <is>
          <t>2026-10-23</t>
        </is>
      </c>
      <c r="X121" s="15" t="inlineStr">
        <is>
          <t>dev-2; retries=0. Full desktop: 1 passed, 0 failed, 0 skipped. See Dev-2 Audit 2026-10-23.</t>
        </is>
      </c>
      <c r="Y121" s="25" t="inlineStr">
        <is>
          <t>MS-V2-112</t>
        </is>
      </c>
    </row>
    <row r="122" ht="150" customHeight="1">
      <c r="A122" s="12" t="inlineStr">
        <is>
          <t>MS-AUTH-031</t>
        </is>
      </c>
      <c r="B122" s="25" t="inlineStr">
        <is>
          <t>Storefront</t>
        </is>
      </c>
      <c r="C122" s="25" t="inlineStr">
        <is>
          <t>8. Sign-in &amp; registration</t>
        </is>
      </c>
      <c r="D122" s="25" t="inlineStr">
        <is>
          <t>Guest order lookup</t>
        </is>
      </c>
      <c r="E122" s="25" t="inlineStr">
        <is>
          <t>Submitting a blank guest order lookup marks both fields required and never calls the lookup endpoint.</t>
        </is>
      </c>
      <c r="F122" s="13" t="inlineStr">
        <is>
          <t>High</t>
        </is>
      </c>
      <c r="G122" s="25" t="inlineStr">
        <is>
          <t>Validation</t>
        </is>
      </c>
      <c r="H122" s="25" t="inlineStr">
        <is>
          <t>Anonymous session.</t>
        </is>
      </c>
      <c r="I122" s="25" t="inlineStr">
        <is>
          <t>Email and order number both empty.</t>
        </is>
      </c>
      <c r="J122" s="25" t="inlineStr">
        <is>
          <t>1. Open /kr/auth/login.
2. Switch to 비회원 (non-member) mode.
3. Leave email and order number empty and click the lookup submit button.</t>
        </is>
      </c>
      <c r="K122" s="25" t="inlineStr">
        <is>
          <t>The email error and the order-number error each read 필수 입력 항목입니다. No POST to /sys/kr/auth/login/guest/verification is sent. The URL stays /kr/auth/login. Suite guard: no unexpected console errors or HTTP 4xx/5xx.</t>
        </is>
      </c>
      <c r="L122" s="13" t="inlineStr">
        <is>
          <t>Automated</t>
        </is>
      </c>
      <c r="M122" s="25" t="inlineStr">
        <is>
          <t>Production-safe</t>
        </is>
      </c>
      <c r="N122" s="25" t="inlineStr">
        <is>
          <t>-</t>
        </is>
      </c>
      <c r="O122" s="25" t="inlineStr">
        <is>
          <t>tests/e2e/storefront/auth/guest-order-lookup.spec.ts</t>
        </is>
      </c>
      <c r="P122" s="25" t="inlineStr">
        <is>
          <t>MS-AUTH-031 blank guest lookup is blocked before the endpoint is called @validation</t>
        </is>
      </c>
      <c r="Q122" s="25" t="inlineStr">
        <is>
          <t>@auth @production @validation</t>
        </is>
      </c>
      <c r="R122" s="13" t="n">
        <v>1</v>
      </c>
      <c r="S122" s="25" t="inlineStr">
        <is>
          <t>@validation appears both on the describe block and in the title.</t>
        </is>
      </c>
      <c r="T122" s="14" t="inlineStr">
        <is>
          <t>Pass</t>
        </is>
      </c>
      <c r="U122" s="15" t="n"/>
      <c r="V122" s="15" t="inlineStr">
        <is>
          <t>Codex / Playwright</t>
        </is>
      </c>
      <c r="W122" s="15" t="inlineStr">
        <is>
          <t>2026-10-23</t>
        </is>
      </c>
      <c r="X122" s="15" t="inlineStr">
        <is>
          <t>dev-2; retries=0. Full desktop: 1 passed, 0 failed, 0 skipped. See Dev-2 Audit 2026-10-23.</t>
        </is>
      </c>
      <c r="Y122" s="25" t="inlineStr">
        <is>
          <t>MS-V2-113</t>
        </is>
      </c>
    </row>
    <row r="123" ht="150" customHeight="1">
      <c r="A123" s="12" t="inlineStr">
        <is>
          <t>MS-AUTH-032</t>
        </is>
      </c>
      <c r="B123" s="25" t="inlineStr">
        <is>
          <t>Storefront</t>
        </is>
      </c>
      <c r="C123" s="25" t="inlineStr">
        <is>
          <t>8. Sign-in &amp; registration</t>
        </is>
      </c>
      <c r="D123" s="25" t="inlineStr">
        <is>
          <t>Guest order lookup</t>
        </is>
      </c>
      <c r="E123" s="25" t="inlineStr">
        <is>
          <t>Guest order lookup gives the same refusal for a registered and an unregistered email, so it does not reveal which addresses have accounts.</t>
        </is>
      </c>
      <c r="F123" s="13" t="inlineStr">
        <is>
          <t>Critical</t>
        </is>
      </c>
      <c r="G123" s="25" t="inlineStr">
        <is>
          <t>Security</t>
        </is>
      </c>
      <c r="H123" s="25" t="inlineStr">
        <is>
          <t>Anonymous browser session. Seeded member exists on the environment under test (checked first by an API login).</t>
        </is>
      </c>
      <c r="I123" s="25" t="inlineStr">
        <is>
          <t>Registered email: AUTH_TEST_EMAIL. Unregistered email: invalid-login-e2e@example.com. Order number for both: AO-000000-E2E-NOPE.</t>
        </is>
      </c>
      <c r="J123"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23"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23" s="13" t="inlineStr">
        <is>
          <t>Automated</t>
        </is>
      </c>
      <c r="M123" s="25" t="inlineStr">
        <is>
          <t>Production-safe</t>
        </is>
      </c>
      <c r="N123" s="25" t="inlineStr">
        <is>
          <t>AUTH_TEST_EMAIL/AUTH_TEST_PASSWORD</t>
        </is>
      </c>
      <c r="O123" s="25" t="inlineStr">
        <is>
          <t>tests/e2e/storefront/auth/guest-order-lookup.spec.ts</t>
        </is>
      </c>
      <c r="P123" s="25" t="inlineStr">
        <is>
          <t>MS-AUTH-032 the refusal does not reveal whether the email belongs to an account @credentialed</t>
        </is>
      </c>
      <c r="Q123" s="25" t="inlineStr">
        <is>
          <t>@auth @production @validation @credentialed</t>
        </is>
      </c>
      <c r="R123" s="13" t="n">
        <v>1</v>
      </c>
      <c r="S123"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23" s="14" t="inlineStr">
        <is>
          <t>Pass</t>
        </is>
      </c>
      <c r="U123" s="15" t="n"/>
      <c r="V123" s="15" t="inlineStr">
        <is>
          <t>Codex / Playwright</t>
        </is>
      </c>
      <c r="W123" s="15" t="inlineStr">
        <is>
          <t>2026-10-23</t>
        </is>
      </c>
      <c r="X123" s="15" t="inlineStr">
        <is>
          <t>dev-2; retries=0. Full desktop: 1 passed, 0 failed, 0 skipped. See Dev-2 Audit 2026-10-23.</t>
        </is>
      </c>
      <c r="Y123" s="25" t="inlineStr">
        <is>
          <t>MS-V2-114</t>
        </is>
      </c>
    </row>
    <row r="124" ht="150" customHeight="1">
      <c r="A124" s="12" t="inlineStr">
        <is>
          <t>MS-ACC-001</t>
        </is>
      </c>
      <c r="B124" s="25" t="inlineStr">
        <is>
          <t>Storefront</t>
        </is>
      </c>
      <c r="C124" s="25" t="inlineStr">
        <is>
          <t>9. Account &amp; order history</t>
        </is>
      </c>
      <c r="D124" s="25" t="inlineStr">
        <is>
          <t>Order history</t>
        </is>
      </c>
      <c r="E124" s="25" t="inlineStr">
        <is>
          <t>Order history lists the member's orders, each card showing a distinct order number and an order date.</t>
        </is>
      </c>
      <c r="F124" s="13" t="inlineStr">
        <is>
          <t>Critical</t>
        </is>
      </c>
      <c r="G124" s="25" t="inlineStr">
        <is>
          <t>Smoke</t>
        </is>
      </c>
      <c r="H124" s="25" t="inlineStr">
        <is>
          <t>Seeded member signed in (session created through the API login, not the form). Member holds at least one order in 진행 중 or 이전 내역, otherwise the test skips.</t>
        </is>
      </c>
      <c r="I124" s="25" t="inlineStr">
        <is>
          <t>Member: AUTH_TEST_EMAIL / AUTH_TEST_PASSWORD. Order numbers match AO-... (dev servers add a suffix such as -dev).</t>
        </is>
      </c>
      <c r="J124"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4"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MS-ACC-001 order history lists the member's orders with a number and a date each @smoke</t>
        </is>
      </c>
      <c r="Q124" s="25" t="inlineStr">
        <is>
          <t>@regression @production @auth @credentialed @smoke</t>
        </is>
      </c>
      <c r="R124" s="13" t="n">
        <v>1</v>
      </c>
      <c r="S124"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4" s="14" t="inlineStr">
        <is>
          <t>Pass</t>
        </is>
      </c>
      <c r="U124" s="15" t="n"/>
      <c r="V124" s="15" t="inlineStr">
        <is>
          <t>Codex / Playwright</t>
        </is>
      </c>
      <c r="W124" s="15" t="inlineStr">
        <is>
          <t>2026-10-23</t>
        </is>
      </c>
      <c r="X124" s="15" t="inlineStr">
        <is>
          <t>dev-2; retries=0. Full desktop: 1 passed, 0 failed, 0 skipped. See Dev-2 Audit 2026-10-23.</t>
        </is>
      </c>
      <c r="Y124" s="25" t="inlineStr">
        <is>
          <t>MS-V2-107</t>
        </is>
      </c>
    </row>
    <row r="125" ht="150" customHeight="1">
      <c r="A125" s="12" t="inlineStr">
        <is>
          <t>MS-ACC-002</t>
        </is>
      </c>
      <c r="B125" s="25" t="inlineStr">
        <is>
          <t>Storefront</t>
        </is>
      </c>
      <c r="C125" s="25" t="inlineStr">
        <is>
          <t>9. Account &amp; order history</t>
        </is>
      </c>
      <c r="D125" s="25" t="inlineStr">
        <is>
          <t>Order history</t>
        </is>
      </c>
      <c r="E125" s="25" t="inlineStr">
        <is>
          <t>Selecting an order card opens that order's invoice in the detail pane instead of the placeholder.</t>
        </is>
      </c>
      <c r="F125" s="13" t="inlineStr">
        <is>
          <t>Critical</t>
        </is>
      </c>
      <c r="G125" s="25" t="inlineStr">
        <is>
          <t>Functional</t>
        </is>
      </c>
      <c r="H125" s="25" t="inlineStr">
        <is>
          <t>Seeded member signed in (API session). Member holds at least one order, otherwise the test skips.</t>
        </is>
      </c>
      <c r="I125" s="25" t="inlineStr">
        <is>
          <t>Member: AUTH_TEST_EMAIL / AUTH_TEST_PASSWORD. First card in whichever segment holds orders.</t>
        </is>
      </c>
      <c r="J125"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5"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5" s="13" t="inlineStr">
        <is>
          <t>Automated</t>
        </is>
      </c>
      <c r="M125" s="25" t="inlineStr">
        <is>
          <t>Production-safe</t>
        </is>
      </c>
      <c r="N125" s="25" t="inlineStr">
        <is>
          <t>AUTH_TEST_EMAIL/AUTH_TEST_PASSWORD</t>
        </is>
      </c>
      <c r="O125" s="25" t="inlineStr">
        <is>
          <t>tests/e2e/storefront/account/order-history.spec.ts</t>
        </is>
      </c>
      <c r="P125" s="25" t="inlineStr">
        <is>
          <t>MS-ACC-002 selecting an order opens that order, not a placeholder</t>
        </is>
      </c>
      <c r="Q125" s="25" t="inlineStr">
        <is>
          <t>@regression @production @auth @credentialed</t>
        </is>
      </c>
      <c r="R125" s="13" t="n">
        <v>1</v>
      </c>
      <c r="S125" s="25" t="inlineStr">
        <is>
          <t>Invoice arithmetic is intentionally not checked (revised orders show old and new totals plus an 추가 결제 금액 row). Read-only.</t>
        </is>
      </c>
      <c r="T125" s="14" t="inlineStr">
        <is>
          <t>Pass</t>
        </is>
      </c>
      <c r="U125" s="15" t="n"/>
      <c r="V125" s="15" t="inlineStr">
        <is>
          <t>Codex / Playwright</t>
        </is>
      </c>
      <c r="W125" s="15" t="inlineStr">
        <is>
          <t>2026-10-23</t>
        </is>
      </c>
      <c r="X125" s="15" t="inlineStr">
        <is>
          <t>dev-2; retries=0. Full desktop: 1 passed, 0 failed, 0 skipped. See Dev-2 Audit 2026-10-23.</t>
        </is>
      </c>
      <c r="Y125" s="25" t="inlineStr">
        <is>
          <t>MS-V2-108</t>
        </is>
      </c>
    </row>
    <row r="126" ht="150" customHeight="1">
      <c r="A126" s="12" t="inlineStr">
        <is>
          <t>MS-ACC-003</t>
        </is>
      </c>
      <c r="B126" s="25" t="inlineStr">
        <is>
          <t>Storefront</t>
        </is>
      </c>
      <c r="C126" s="25" t="inlineStr">
        <is>
          <t>9. Account &amp; order history</t>
        </is>
      </c>
      <c r="D126" s="25" t="inlineStr">
        <is>
          <t>Order history</t>
        </is>
      </c>
      <c r="E126" s="25" t="inlineStr">
        <is>
          <t>The 진행 중 / 이전 내역 control switches between two non-overlapping order lists and reports its state through aria-pressed.</t>
        </is>
      </c>
      <c r="F126" s="13" t="inlineStr">
        <is>
          <t>High</t>
        </is>
      </c>
      <c r="G126" s="25" t="inlineStr">
        <is>
          <t>Functional</t>
        </is>
      </c>
      <c r="H126" s="25" t="inlineStr">
        <is>
          <t>Seeded member signed in (API session). Member holds at least one order in either segment, otherwise the test skips.</t>
        </is>
      </c>
      <c r="I126" s="25" t="inlineStr">
        <is>
          <t>Member: AUTH_TEST_EMAIL / AUTH_TEST_PASSWORD.</t>
        </is>
      </c>
      <c r="J126"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6"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6" s="13" t="inlineStr">
        <is>
          <t>Automated</t>
        </is>
      </c>
      <c r="M126" s="25" t="inlineStr">
        <is>
          <t>Production-safe</t>
        </is>
      </c>
      <c r="N126" s="25" t="inlineStr">
        <is>
          <t>AUTH_TEST_EMAIL/AUTH_TEST_PASSWORD</t>
        </is>
      </c>
      <c r="O126" s="25" t="inlineStr">
        <is>
          <t>tests/e2e/storefront/account/order-history.spec.ts</t>
        </is>
      </c>
      <c r="P126" s="25" t="inlineStr">
        <is>
          <t>MS-ACC-003 the 진행 중 / 이전 내역 control switches which orders are listed</t>
        </is>
      </c>
      <c r="Q126" s="25" t="inlineStr">
        <is>
          <t>@regression @production @auth @credentialed</t>
        </is>
      </c>
      <c r="R126" s="13" t="n">
        <v>1</v>
      </c>
      <c r="S126" s="25" t="inlineStr">
        <is>
          <t>The segment buttons can ignore early clicks before hydration; the automation retries the click until aria-pressed flips. Read-only.</t>
        </is>
      </c>
      <c r="T126" s="14" t="inlineStr">
        <is>
          <t>Pass</t>
        </is>
      </c>
      <c r="U126" s="15" t="n"/>
      <c r="V126" s="15" t="inlineStr">
        <is>
          <t>Codex / Playwright</t>
        </is>
      </c>
      <c r="W126" s="15" t="inlineStr">
        <is>
          <t>2026-10-23</t>
        </is>
      </c>
      <c r="X126" s="15" t="inlineStr">
        <is>
          <t>dev-2; retries=0. Full desktop: 1 passed, 0 failed, 0 skipped. See Dev-2 Audit 2026-10-23.</t>
        </is>
      </c>
      <c r="Y126" s="25" t="inlineStr">
        <is>
          <t>MS-V2-109</t>
        </is>
      </c>
    </row>
    <row r="127" ht="150" customHeight="1">
      <c r="A127" s="12" t="inlineStr">
        <is>
          <t>MS-ACC-004</t>
        </is>
      </c>
      <c r="B127" s="25" t="inlineStr">
        <is>
          <t>Storefront</t>
        </is>
      </c>
      <c r="C127" s="25" t="inlineStr">
        <is>
          <t>9. Account &amp; order history</t>
        </is>
      </c>
      <c r="D127" s="25" t="inlineStr">
        <is>
          <t>Order history</t>
        </is>
      </c>
      <c r="E127" s="25" t="inlineStr">
        <is>
          <t>Searching order history for an order number narrows the list to that one order, and clearing the search restores the full list.</t>
        </is>
      </c>
      <c r="F127" s="13" t="inlineStr">
        <is>
          <t>High</t>
        </is>
      </c>
      <c r="G127" s="25" t="inlineStr">
        <is>
          <t>Functional</t>
        </is>
      </c>
      <c r="H127" s="25" t="inlineStr">
        <is>
          <t>Seeded member signed in (API session). Member holds at least two orders in one segment, otherwise the test skips.</t>
        </is>
      </c>
      <c r="I127" s="25" t="inlineStr">
        <is>
          <t>Member: AUTH_TEST_EMAIL / AUTH_TEST_PASSWORD. Search term: the first card's order number (e.g. AO-2608260005-dev on dev).</t>
        </is>
      </c>
      <c r="J127"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7" s="25" t="inlineStr">
        <is>
          <t>Within 20 s of searching, exactly 1 card is listed and it contains the searched order number. Within 20 s of clearing, the card count returns to the original count. Suite guard: no unexpected console errors or HTTP 4xx/5xx.</t>
        </is>
      </c>
      <c r="L127" s="13" t="inlineStr">
        <is>
          <t>Automated</t>
        </is>
      </c>
      <c r="M127" s="25" t="inlineStr">
        <is>
          <t>Production-safe</t>
        </is>
      </c>
      <c r="N127" s="25" t="inlineStr">
        <is>
          <t>AUTH_TEST_EMAIL/AUTH_TEST_PASSWORD</t>
        </is>
      </c>
      <c r="O127" s="25" t="inlineStr">
        <is>
          <t>tests/e2e/storefront/account/order-history.spec.ts</t>
        </is>
      </c>
      <c r="P127" s="25" t="inlineStr">
        <is>
          <t>MS-ACC-004 order search narrows the list to the order that was searched for</t>
        </is>
      </c>
      <c r="Q127" s="25" t="inlineStr">
        <is>
          <t>@regression @production @auth @credentialed</t>
        </is>
      </c>
      <c r="R127" s="13" t="n">
        <v>1</v>
      </c>
      <c r="S127" s="25" t="inlineStr">
        <is>
          <t>The search filters only on Enter, not while typing (verified development-1: 61 cards stayed 61 until Enter). Read-only.</t>
        </is>
      </c>
      <c r="T127" s="14" t="inlineStr">
        <is>
          <t>Pass</t>
        </is>
      </c>
      <c r="U127" s="15" t="n"/>
      <c r="V127" s="15" t="inlineStr">
        <is>
          <t>Codex / Playwright</t>
        </is>
      </c>
      <c r="W127" s="15" t="inlineStr">
        <is>
          <t>2026-10-23</t>
        </is>
      </c>
      <c r="X127" s="15" t="inlineStr">
        <is>
          <t>dev-2; retries=0. Full desktop: 1 passed, 0 failed, 0 skipped. See Dev-2 Audit 2026-10-23.</t>
        </is>
      </c>
      <c r="Y127" s="25" t="inlineStr">
        <is>
          <t>MS-V2-110</t>
        </is>
      </c>
    </row>
    <row r="128" ht="150" customHeight="1">
      <c r="A128" s="12" t="inlineStr">
        <is>
          <t>MS-ACC-005</t>
        </is>
      </c>
      <c r="B128" s="25" t="inlineStr">
        <is>
          <t>Storefront</t>
        </is>
      </c>
      <c r="C128" s="25" t="inlineStr">
        <is>
          <t>9. Account &amp; order history</t>
        </is>
      </c>
      <c r="D128" s="25" t="inlineStr">
        <is>
          <t>Order history</t>
        </is>
      </c>
      <c r="E128" s="25" t="inlineStr">
        <is>
          <t>The order history page shows its header, search box, date picker, filters button and both segment buttons.</t>
        </is>
      </c>
      <c r="F128" s="13" t="inlineStr">
        <is>
          <t>Medium</t>
        </is>
      </c>
      <c r="G128" s="25" t="inlineStr">
        <is>
          <t>UI</t>
        </is>
      </c>
      <c r="H128" s="25" t="inlineStr">
        <is>
          <t>Seeded member signed in (API session). No orders required.</t>
        </is>
      </c>
      <c r="I128" s="25" t="inlineStr">
        <is>
          <t>Member: AUTH_TEST_EMAIL / AUTH_TEST_PASSWORD.</t>
        </is>
      </c>
      <c r="J128" s="25" t="inlineStr">
        <is>
          <t>1. Sign in as the seeded member.
2. Open /kr/account/orders and confirm the 주문 현황 heading.
3. Check the page header, search box, date button, filters button and the segment buttons.</t>
        </is>
      </c>
      <c r="K128" s="25" t="inlineStr">
        <is>
          <t>Visible: the orders header (account-orders-header), the search input, the select-date button, the filters button, and buttons named exactly 진행 중 and 이전 내역. Suite guard: no unexpected console errors or HTTP 4xx/5xx.</t>
        </is>
      </c>
      <c r="L128" s="13" t="inlineStr">
        <is>
          <t>Automated</t>
        </is>
      </c>
      <c r="M128" s="25" t="inlineStr">
        <is>
          <t>Production-safe</t>
        </is>
      </c>
      <c r="N128" s="25" t="inlineStr">
        <is>
          <t>AUTH_TEST_EMAIL/AUTH_TEST_PASSWORD</t>
        </is>
      </c>
      <c r="O128" s="25" t="inlineStr">
        <is>
          <t>tests/e2e/storefront/account/order-history.spec.ts</t>
        </is>
      </c>
      <c r="P128" s="25" t="inlineStr">
        <is>
          <t>MS-ACC-005 order history tools are present and named</t>
        </is>
      </c>
      <c r="Q128" s="25" t="inlineStr">
        <is>
          <t>@regression @production @auth @credentialed</t>
        </is>
      </c>
      <c r="R128" s="13" t="n">
        <v>1</v>
      </c>
      <c r="S128" s="25" t="inlineStr">
        <is>
          <t>Presence only; none of the controls is operated. Read-only.</t>
        </is>
      </c>
      <c r="T128" s="14" t="inlineStr">
        <is>
          <t>Pass</t>
        </is>
      </c>
      <c r="U128" s="15" t="n"/>
      <c r="V128" s="15" t="inlineStr">
        <is>
          <t>Codex / Playwright</t>
        </is>
      </c>
      <c r="W128" s="15" t="inlineStr">
        <is>
          <t>2026-10-23</t>
        </is>
      </c>
      <c r="X128" s="15" t="inlineStr">
        <is>
          <t>dev-2; retries=0. Full desktop: 1 passed, 0 failed, 0 skipped. See Dev-2 Audit 2026-10-23.</t>
        </is>
      </c>
      <c r="Y128" s="25" t="inlineStr">
        <is>
          <t>MS-V2-111</t>
        </is>
      </c>
    </row>
    <row r="129" ht="150" customHeight="1">
      <c r="A129" s="12" t="inlineStr">
        <is>
          <t>MS-INQ-001</t>
        </is>
      </c>
      <c r="B129" s="25" t="inlineStr">
        <is>
          <t>Storefront</t>
        </is>
      </c>
      <c r="C129" s="25" t="inlineStr">
        <is>
          <t>10. Inquiry &amp; validation</t>
        </is>
      </c>
      <c r="D129" s="25" t="inlineStr">
        <is>
          <t>Inquiry validation</t>
        </is>
      </c>
      <c r="E129" s="25" t="inlineStr">
        <is>
          <t>The home-page inquiry form is present with name, email, message and attachment fields, and its email field is a plain text input.</t>
        </is>
      </c>
      <c r="F129" s="13" t="inlineStr">
        <is>
          <t>Critical</t>
        </is>
      </c>
      <c r="G129" s="25" t="inlineStr">
        <is>
          <t>Validation</t>
        </is>
      </c>
      <c r="H129" s="25" t="inlineStr">
        <is>
          <t>Anonymous session; home page /kr loaded (beforeEach).</t>
        </is>
      </c>
      <c r="I129" s="25" t="inlineStr">
        <is>
          <t>Placeholders: '성함을 입력해 주세요.', '이메일 주소를 입력해 주세요.', '여기에 문의하실 내용을 입력해 주세요.'</t>
        </is>
      </c>
      <c r="J129" s="25" t="inlineStr">
        <is>
          <t>1. Open the home page /kr.
2. Verify the inquiry button 제작 문의하기 (or 1:1문의하기) is visible.
3. Locate the inquiry form fields: name, email, message, and file attachment.
4. Inspect the email field's input type.</t>
        </is>
      </c>
      <c r="K129"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9" s="13" t="inlineStr">
        <is>
          <t>Partial</t>
        </is>
      </c>
      <c r="M129" s="25" t="inlineStr">
        <is>
          <t>Production-safe</t>
        </is>
      </c>
      <c r="N129" s="25" t="inlineStr">
        <is>
          <t>-</t>
        </is>
      </c>
      <c r="O129" s="25" t="inlineStr">
        <is>
          <t>tests/e2e/storefront/inquiry/inquiry-validation.spec.ts</t>
        </is>
      </c>
      <c r="P129" s="25" t="inlineStr">
        <is>
          <t>MS-INQ-001 inquiry form validates blank and invalid email submissions</t>
        </is>
      </c>
      <c r="Q129" s="25" t="inlineStr">
        <is>
          <t>@validation @production</t>
        </is>
      </c>
      <c r="R129" s="13" t="n">
        <v>1</v>
      </c>
      <c r="S129"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9" s="14" t="inlineStr">
        <is>
          <t>Pass</t>
        </is>
      </c>
      <c r="U129" s="15" t="n"/>
      <c r="V129" s="15" t="inlineStr">
        <is>
          <t>Codex / Playwright</t>
        </is>
      </c>
      <c r="W129" s="15" t="inlineStr">
        <is>
          <t>2026-10-23</t>
        </is>
      </c>
      <c r="X129" s="15" t="inlineStr">
        <is>
          <t>dev-2; retries=0. Full desktop: 1 passed, 0 failed, 0 skipped. See Dev-2 Audit 2026-10-23.</t>
        </is>
      </c>
      <c r="Y129" s="25" t="inlineStr">
        <is>
          <t>MS-V2-017</t>
        </is>
      </c>
    </row>
    <row r="130" ht="150" customHeight="1">
      <c r="A130" s="12" t="inlineStr">
        <is>
          <t>MS-INQ-002</t>
        </is>
      </c>
      <c r="B130" s="25" t="inlineStr">
        <is>
          <t>Storefront</t>
        </is>
      </c>
      <c r="C130" s="25" t="inlineStr">
        <is>
          <t>10. Inquiry &amp; validation</t>
        </is>
      </c>
      <c r="D130" s="25" t="inlineStr">
        <is>
          <t>Inquiry validation</t>
        </is>
      </c>
      <c r="E130" s="25" t="inlineStr">
        <is>
          <t>The inquiry form states the supported attachment formats and the 50MB limit.</t>
        </is>
      </c>
      <c r="F130" s="13" t="inlineStr">
        <is>
          <t>High</t>
        </is>
      </c>
      <c r="G130" s="25" t="inlineStr">
        <is>
          <t>Validation</t>
        </is>
      </c>
      <c r="H130" s="25" t="inlineStr">
        <is>
          <t>Anonymous session; home page /kr loaded (beforeEach).</t>
        </is>
      </c>
      <c r="I130" s="25" t="inlineStr">
        <is>
          <t>Formats in order: .eps .ai .psd .pdf .tif .tiff .zip .png .jpg; limit 50MB</t>
        </is>
      </c>
      <c r="J130" s="25" t="inlineStr">
        <is>
          <t>1. Open the home page /kr.
2. Verify the inquiry button 제작 문의하기 (or 1:1문의하기) is visible and the form fields exist.
3. Read the attachment guidance text near the file field.</t>
        </is>
      </c>
      <c r="K130" s="25" t="inlineStr">
        <is>
          <t>Page text lists .eps, .ai, .psd, .pdf, .tif, .tiff, .zip, .png, .jpg in that order (case-insensitive) and contains '50MB'. Form fields name/email/message and one file input exist. No unexpected console/HTTP errors (guard fixture).</t>
        </is>
      </c>
      <c r="L130" s="13" t="inlineStr">
        <is>
          <t>Partial</t>
        </is>
      </c>
      <c r="M130" s="25" t="inlineStr">
        <is>
          <t>Production-safe</t>
        </is>
      </c>
      <c r="N130" s="25" t="inlineStr">
        <is>
          <t>-</t>
        </is>
      </c>
      <c r="O130" s="25" t="inlineStr">
        <is>
          <t>tests/e2e/storefront/inquiry/inquiry-validation.spec.ts</t>
        </is>
      </c>
      <c r="P130" s="25" t="inlineStr">
        <is>
          <t>MS-INQ-002 inquiry form documents supported attachment constraints</t>
        </is>
      </c>
      <c r="Q130" s="25" t="inlineStr">
        <is>
          <t>@validation @production</t>
        </is>
      </c>
      <c r="R130" s="13" t="n">
        <v>1</v>
      </c>
      <c r="S130"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30" s="14" t="inlineStr">
        <is>
          <t>Pass</t>
        </is>
      </c>
      <c r="U130" s="15" t="n"/>
      <c r="V130" s="15" t="inlineStr">
        <is>
          <t>Codex / Playwright</t>
        </is>
      </c>
      <c r="W130" s="15" t="inlineStr">
        <is>
          <t>2026-10-23</t>
        </is>
      </c>
      <c r="X130" s="15" t="inlineStr">
        <is>
          <t>dev-2; retries=0. Full desktop: 1 passed, 0 failed, 0 skipped. See Dev-2 Audit 2026-10-23.</t>
        </is>
      </c>
      <c r="Y130" s="25" t="inlineStr">
        <is>
          <t>MS-V2-018</t>
        </is>
      </c>
    </row>
    <row r="131" ht="150" customHeight="1">
      <c r="A131" s="12" t="inlineStr">
        <is>
          <t>MS-INQ-003</t>
        </is>
      </c>
      <c r="B131" s="25" t="inlineStr">
        <is>
          <t>Storefront</t>
        </is>
      </c>
      <c r="C131" s="25" t="inlineStr">
        <is>
          <t>10. Inquiry &amp; validation</t>
        </is>
      </c>
      <c r="D131" s="25" t="inlineStr">
        <is>
          <t>Inquiry validation</t>
        </is>
      </c>
      <c r="E131" s="25" t="inlineStr">
        <is>
          <t>The Kakao Channel and Naver TalkTalk inquiry links point to pf.kakao.com and talk.naver.com.</t>
        </is>
      </c>
      <c r="F131" s="13" t="inlineStr">
        <is>
          <t>Medium</t>
        </is>
      </c>
      <c r="G131" s="25" t="inlineStr">
        <is>
          <t>Navigation</t>
        </is>
      </c>
      <c r="H131" s="25" t="inlineStr">
        <is>
          <t>Anonymous session; home page /kr loaded (beforeEach).</t>
        </is>
      </c>
      <c r="I131" s="25" t="inlineStr">
        <is>
          <t>Links '카카오채널로 문의하기' and '네이버 톡톡 으로 문의하기'</t>
        </is>
      </c>
      <c r="J131" s="25" t="inlineStr">
        <is>
          <t>1. Open the home page /kr.
2. Find the link 카카오채널로 문의하기 and inspect its destination (href).
3. Find the link 네이버 톡톡 으로 문의하기 and inspect its destination (href).</t>
        </is>
      </c>
      <c r="K131" s="25" t="inlineStr">
        <is>
          <t>The '카카오채널로 문의하기' link href contains 'pf.kakao.com'. The '네이버 톡톡 으로 문의하기' link href contains 'talk.naver.com'. No unexpected console/HTTP errors (guard fixture).</t>
        </is>
      </c>
      <c r="L131" s="13" t="inlineStr">
        <is>
          <t>Automated</t>
        </is>
      </c>
      <c r="M131" s="25" t="inlineStr">
        <is>
          <t>Production-safe</t>
        </is>
      </c>
      <c r="N131" s="25" t="inlineStr">
        <is>
          <t>-</t>
        </is>
      </c>
      <c r="O131" s="25" t="inlineStr">
        <is>
          <t>tests/e2e/storefront/inquiry/inquiry-validation.spec.ts</t>
        </is>
      </c>
      <c r="P131" s="25" t="inlineStr">
        <is>
          <t>MS-INQ-003 external inquiry links point to Kakao and Naver destinations</t>
        </is>
      </c>
      <c r="Q131" s="25" t="inlineStr">
        <is>
          <t>@validation @production</t>
        </is>
      </c>
      <c r="R131" s="13" t="n">
        <v>1</v>
      </c>
      <c r="S131" s="25" t="inlineStr">
        <is>
          <t>The links are not clicked and no popup is opened; only the href is checked (test-case.md expects a new page on each host). Tags differ from test-case.md (@regression there, @validation in code).</t>
        </is>
      </c>
      <c r="T131" s="14" t="inlineStr">
        <is>
          <t>Pass</t>
        </is>
      </c>
      <c r="U131" s="15" t="n"/>
      <c r="V131" s="15" t="inlineStr">
        <is>
          <t>Codex / Playwright</t>
        </is>
      </c>
      <c r="W131" s="15" t="inlineStr">
        <is>
          <t>2026-10-23</t>
        </is>
      </c>
      <c r="X131" s="15" t="inlineStr">
        <is>
          <t>dev-2; retries=0. Full desktop: 1 passed, 0 failed, 0 skipped. See Dev-2 Audit 2026-10-23.</t>
        </is>
      </c>
      <c r="Y131" s="25" t="inlineStr">
        <is>
          <t>MS-V2-019</t>
        </is>
      </c>
    </row>
    <row r="132" ht="150" customHeight="1">
      <c r="A132" s="12" t="inlineStr">
        <is>
          <t>MS-API-001</t>
        </is>
      </c>
      <c r="B132" s="25" t="inlineStr">
        <is>
          <t>Storefront</t>
        </is>
      </c>
      <c r="C132" s="25" t="inlineStr">
        <is>
          <t>11. Public API</t>
        </is>
      </c>
      <c r="D132" s="25" t="inlineStr">
        <is>
          <t>Public API</t>
        </is>
      </c>
      <c r="E132" s="25" t="inlineStr">
        <is>
          <t>The public navigation categories API returns non-empty JSON that includes the storefront category slugs.</t>
        </is>
      </c>
      <c r="F132" s="13" t="inlineStr">
        <is>
          <t>Critical</t>
        </is>
      </c>
      <c r="G132" s="25" t="inlineStr">
        <is>
          <t>API</t>
        </is>
      </c>
      <c r="H132" s="25" t="inlineStr">
        <is>
          <t>Anonymous API request context (no cookies or auth).</t>
        </is>
      </c>
      <c r="I132" s="25" t="inlineStr">
        <is>
          <t>GET {API_BASE_URL}/sys/kr/navigation/categories; default API_BASE_URL https://api.musticker.com/index.php (derived from BASE_URL)</t>
        </is>
      </c>
      <c r="J132" s="25" t="inlineStr">
        <is>
          <t>1. Send GET {API_BASE_URL}/sys/kr/navigation/categories without credentials.
2. Check the HTTP status.
3. Check the Content-Type header.
4. Inspect the JSON body.</t>
        </is>
      </c>
      <c r="K132" s="25" t="inlineStr">
        <is>
          <t>Status is 2xx. Content-Type contains 'application/json'. Body is a non-empty array or an object with at least one key. The serialized body contains 'stickers', 'roll-stickers' or 'sheet-stickers'.</t>
        </is>
      </c>
      <c r="L132" s="13" t="inlineStr">
        <is>
          <t>Automated</t>
        </is>
      </c>
      <c r="M132" s="25" t="inlineStr">
        <is>
          <t>Production-safe</t>
        </is>
      </c>
      <c r="N132" s="25" t="inlineStr">
        <is>
          <t>-</t>
        </is>
      </c>
      <c r="O132" s="25" t="inlineStr">
        <is>
          <t>tests/e2e/storefront/api/public-api.spec.ts</t>
        </is>
      </c>
      <c r="P132" s="25" t="inlineStr">
        <is>
          <t>MS-API-001 navigation categories API returns public category data</t>
        </is>
      </c>
      <c r="Q132" s="25" t="inlineStr">
        <is>
          <t>@api @smoke @production</t>
        </is>
      </c>
      <c r="R132" s="13" t="n">
        <v>1</v>
      </c>
      <c r="S132" s="25" t="inlineStr">
        <is>
          <t>2026-10-23: browser-free API fixture; success envelope, required data fields, nonempty names and unique IDs asserted. Navigation requires all three category slugs.</t>
        </is>
      </c>
      <c r="T132" s="14" t="inlineStr">
        <is>
          <t>Pass</t>
        </is>
      </c>
      <c r="U132" s="15" t="n"/>
      <c r="V132" s="15" t="inlineStr">
        <is>
          <t>Codex / Playwright chromium-desktop</t>
        </is>
      </c>
      <c r="W132" s="15" t="inlineStr">
        <is>
          <t>2026-10-23</t>
        </is>
      </c>
      <c r="X132" s="15" t="inlineStr">
        <is>
          <t>Verified on production. Evidence: test-results/tier-api.json.</t>
        </is>
      </c>
      <c r="Y132" s="25" t="inlineStr">
        <is>
          <t>MS-V2-036</t>
        </is>
      </c>
    </row>
    <row r="133" ht="150" customHeight="1">
      <c r="A133" s="12" t="inlineStr">
        <is>
          <t>MS-API-002</t>
        </is>
      </c>
      <c r="B133" s="25" t="inlineStr">
        <is>
          <t>Storefront</t>
        </is>
      </c>
      <c r="C133" s="25" t="inlineStr">
        <is>
          <t>11. Public API</t>
        </is>
      </c>
      <c r="D133" s="25" t="inlineStr">
        <is>
          <t>Public API</t>
        </is>
      </c>
      <c r="E133" s="25" t="inlineStr">
        <is>
          <t>The public inquiry types API returns non-empty JSON without login.</t>
        </is>
      </c>
      <c r="F133" s="13" t="inlineStr">
        <is>
          <t>High</t>
        </is>
      </c>
      <c r="G133" s="25" t="inlineStr">
        <is>
          <t>API</t>
        </is>
      </c>
      <c r="H133" s="25" t="inlineStr">
        <is>
          <t>Anonymous API request context.</t>
        </is>
      </c>
      <c r="I133" s="25" t="inlineStr">
        <is>
          <t>GET {API_BASE_URL}/sys/kr/inquiry/types</t>
        </is>
      </c>
      <c r="J133" s="25" t="inlineStr">
        <is>
          <t>1. Send GET {API_BASE_URL}/sys/kr/inquiry/types without credentials.
2. Check the HTTP status.
3. Check the Content-Type header.
4. Inspect the JSON body.</t>
        </is>
      </c>
      <c r="K133" s="25" t="inlineStr">
        <is>
          <t>Status is 2xx. Content-Type contains 'application/json'. Body is a non-empty array or an object with at least one key.</t>
        </is>
      </c>
      <c r="L133" s="13" t="inlineStr">
        <is>
          <t>Automated</t>
        </is>
      </c>
      <c r="M133" s="25" t="inlineStr">
        <is>
          <t>Production-safe</t>
        </is>
      </c>
      <c r="N133" s="25" t="inlineStr">
        <is>
          <t>-</t>
        </is>
      </c>
      <c r="O133" s="25" t="inlineStr">
        <is>
          <t>tests/e2e/storefront/api/public-api.spec.ts</t>
        </is>
      </c>
      <c r="P133" s="25" t="inlineStr">
        <is>
          <t>MS-API-002 inquiry types API returns selectable inquiry metadata</t>
        </is>
      </c>
      <c r="Q133" s="25" t="inlineStr">
        <is>
          <t>@api @smoke @production</t>
        </is>
      </c>
      <c r="R133" s="13" t="n">
        <v>1</v>
      </c>
      <c r="S133" s="25" t="inlineStr">
        <is>
          <t>2026-10-23: browser-free API fixture; success envelope, required data fields, nonempty names and unique IDs asserted. Navigation requires all three category slugs.</t>
        </is>
      </c>
      <c r="T133" s="14" t="inlineStr">
        <is>
          <t>Pass</t>
        </is>
      </c>
      <c r="U133" s="15" t="n"/>
      <c r="V133" s="15" t="inlineStr">
        <is>
          <t>Codex / Playwright chromium-desktop</t>
        </is>
      </c>
      <c r="W133" s="15" t="inlineStr">
        <is>
          <t>2026-10-23</t>
        </is>
      </c>
      <c r="X133" s="15" t="inlineStr">
        <is>
          <t>Verified on production. Evidence: test-results/tier-api.json.</t>
        </is>
      </c>
      <c r="Y133" s="25" t="inlineStr">
        <is>
          <t>MS-V2-037</t>
        </is>
      </c>
    </row>
    <row r="134" ht="150" customHeight="1">
      <c r="A134" s="12" t="inlineStr">
        <is>
          <t>MS-API-003</t>
        </is>
      </c>
      <c r="B134" s="25" t="inlineStr">
        <is>
          <t>Storefront</t>
        </is>
      </c>
      <c r="C134" s="25" t="inlineStr">
        <is>
          <t>11. Public API</t>
        </is>
      </c>
      <c r="D134" s="25" t="inlineStr">
        <is>
          <t>Public API</t>
        </is>
      </c>
      <c r="E134" s="25" t="inlineStr">
        <is>
          <t>The user session API rejects an anonymous caller with 401 and does not leak server error details.</t>
        </is>
      </c>
      <c r="F134" s="13" t="inlineStr">
        <is>
          <t>Critical</t>
        </is>
      </c>
      <c r="G134" s="25" t="inlineStr">
        <is>
          <t>API</t>
        </is>
      </c>
      <c r="H134" s="25" t="inlineStr">
        <is>
          <t>Anonymous API request context (no session cookie).</t>
        </is>
      </c>
      <c r="I134" s="25" t="inlineStr">
        <is>
          <t>GET {API_BASE_URL}/sys/kr/user/me</t>
        </is>
      </c>
      <c r="J134" s="25" t="inlineStr">
        <is>
          <t>1. Send GET {API_BASE_URL}/sys/kr/user/me without credentials.
2. Check the HTTP status.
3. Read the response body.</t>
        </is>
      </c>
      <c r="K134" s="25" t="inlineStr">
        <is>
          <t>Status is exactly 401. Response body does not contain 'stack', 'trace', 'exception' or 'sql' (case-insensitive).</t>
        </is>
      </c>
      <c r="L134" s="13" t="inlineStr">
        <is>
          <t>Automated</t>
        </is>
      </c>
      <c r="M134" s="25" t="inlineStr">
        <is>
          <t>Production-safe</t>
        </is>
      </c>
      <c r="N134" s="25" t="inlineStr">
        <is>
          <t>-</t>
        </is>
      </c>
      <c r="O134" s="25" t="inlineStr">
        <is>
          <t>tests/e2e/storefront/api/public-api.spec.ts</t>
        </is>
      </c>
      <c r="P134" s="25" t="inlineStr">
        <is>
          <t>MS-API-003 anonymous user session API rejects unauthenticated users safely</t>
        </is>
      </c>
      <c r="Q134" s="25" t="inlineStr">
        <is>
          <t>@api @smoke @production</t>
        </is>
      </c>
      <c r="R134" s="13" t="n">
        <v>1</v>
      </c>
      <c r="S134" s="25" t="inlineStr">
        <is>
          <t>Negative/security-flavoured API check. The authenticated 200 case is not covered here.</t>
        </is>
      </c>
      <c r="T134" s="14" t="inlineStr">
        <is>
          <t>Pass</t>
        </is>
      </c>
      <c r="U134" s="15" t="n"/>
      <c r="V134" s="15" t="inlineStr">
        <is>
          <t>Codex / Playwright chromium-desktop</t>
        </is>
      </c>
      <c r="W134" s="15" t="inlineStr">
        <is>
          <t>2026-10-23</t>
        </is>
      </c>
      <c r="X134" s="15" t="inlineStr">
        <is>
          <t xml:space="preserve">test-results/production-baseline.json. </t>
        </is>
      </c>
      <c r="Y134" s="25" t="inlineStr">
        <is>
          <t>MS-V2-038</t>
        </is>
      </c>
    </row>
    <row r="135" ht="150" customHeight="1">
      <c r="A135" s="12" t="inlineStr">
        <is>
          <t>MS-UX-001</t>
        </is>
      </c>
      <c r="B135" s="25" t="inlineStr">
        <is>
          <t>Storefront</t>
        </is>
      </c>
      <c r="C135" s="25" t="inlineStr">
        <is>
          <t>12. Accessibility, visual &amp; errors</t>
        </is>
      </c>
      <c r="D135" s="25" t="inlineStr">
        <is>
          <t>Accessibility</t>
        </is>
      </c>
      <c r="E135" s="25" t="inlineStr">
        <is>
          <t>Core header controls and CTAs are visible and named, Tab moves focus to a visible element, and the search dialog closes with Escape.</t>
        </is>
      </c>
      <c r="F135" s="13" t="inlineStr">
        <is>
          <t>High</t>
        </is>
      </c>
      <c r="G135" s="25" t="inlineStr">
        <is>
          <t>Accessibility</t>
        </is>
      </c>
      <c r="H135" s="25" t="inlineStr">
        <is>
          <t>Anonymous session.</t>
        </is>
      </c>
      <c r="I135" s="25" t="inlineStr">
        <is>
          <t>Link 스티커 (exact); button 빠른 주문</t>
        </is>
      </c>
      <c r="J135"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5"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5" s="13" t="inlineStr">
        <is>
          <t>Automated</t>
        </is>
      </c>
      <c r="M135" s="25" t="inlineStr">
        <is>
          <t>Production-safe</t>
        </is>
      </c>
      <c r="N135" s="25" t="inlineStr">
        <is>
          <t>-</t>
        </is>
      </c>
      <c r="O135" s="25" t="inlineStr">
        <is>
          <t>tests/e2e/storefront/ux/accessibility.spec.ts</t>
        </is>
      </c>
      <c r="P135" s="25" t="inlineStr">
        <is>
          <t>MS-UX-001 core controls are named and keyboard reachable</t>
        </is>
      </c>
      <c r="Q135" s="25" t="inlineStr">
        <is>
          <t>@regression @production</t>
        </is>
      </c>
      <c r="R135" s="13" t="n">
        <v>1</v>
      </c>
      <c r="S135"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MS-UX-004 is the broader accessibility check.</t>
        </is>
      </c>
      <c r="T135" s="14" t="inlineStr">
        <is>
          <t>Pass</t>
        </is>
      </c>
      <c r="U135" s="15" t="n"/>
      <c r="V135" s="15" t="inlineStr">
        <is>
          <t>Codex / Playwright</t>
        </is>
      </c>
      <c r="W135" s="15" t="inlineStr">
        <is>
          <t>2026-10-23</t>
        </is>
      </c>
      <c r="X135" s="15" t="inlineStr">
        <is>
          <t>dev-2; retries=0. Full desktop: 1 passed, 0 failed, 0 skipped. See Dev-2 Audit 2026-10-23.</t>
        </is>
      </c>
      <c r="Y135" s="25" t="inlineStr">
        <is>
          <t>MS-V2-023</t>
        </is>
      </c>
    </row>
    <row r="136" ht="150" customHeight="1">
      <c r="A136" s="16" t="inlineStr">
        <is>
          <t>MS-UX-002</t>
        </is>
      </c>
      <c r="B136" s="17" t="inlineStr">
        <is>
          <t>Storefront</t>
        </is>
      </c>
      <c r="C136" s="17" t="inlineStr">
        <is>
          <t>12. Accessibility, visual &amp; errors</t>
        </is>
      </c>
      <c r="D136" s="17" t="inlineStr">
        <is>
          <t>Visual</t>
        </is>
      </c>
      <c r="E136" s="17" t="inlineStr">
        <is>
          <t>Full-page screenshots of home, the three category pages, the die-cut sticker product and FAQ match approved baselines.</t>
        </is>
      </c>
      <c r="F136" s="29" t="inlineStr">
        <is>
          <t>Medium</t>
        </is>
      </c>
      <c r="G136" s="17" t="inlineStr">
        <is>
          <t>Visual</t>
        </is>
      </c>
      <c r="H136" s="17" t="inlineStr">
        <is>
          <t>Anonymous session; approved baseline images exist for the browser/OS (committed: chromium-desktop on linux and win32).</t>
        </is>
      </c>
      <c r="I136" s="17" t="inlineStr">
        <is>
          <t>Pages: home (/kr), stickers (/kr/stickers), roll-stickers (/kr/roll-stickers), sheet-stickers (/kr/sheet-stickers), die-cut-sticker (/kr/stickers/die-cut-sticker), faq (/kr/faq); baselines storefront-&lt;name&gt;.png; maxDiffPixelRatio 0.02</t>
        </is>
      </c>
      <c r="J136" s="17"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6" s="17"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6" s="29" t="inlineStr">
        <is>
          <t>Withdrawn</t>
        </is>
      </c>
      <c r="M136" s="17" t="inlineStr">
        <is>
          <t>Any</t>
        </is>
      </c>
      <c r="N136" s="17" t="inlineStr">
        <is>
          <t>RUN_VISUAL_E2E=true (skipped otherwise), e.g. npm run test:visual</t>
        </is>
      </c>
      <c r="O136" s="17" t="inlineStr">
        <is>
          <t>-</t>
        </is>
      </c>
      <c r="P136" s="17" t="inlineStr">
        <is>
          <t>-</t>
        </is>
      </c>
      <c r="Q136" s="17" t="inlineStr">
        <is>
          <t>-</t>
        </is>
      </c>
      <c r="R136" s="29" t="n">
        <v>0</v>
      </c>
      <c r="S136" s="17" t="inlineStr">
        <is>
          <t>Withdrawn 2026-10-23 at user request: dedicated pricing and visual automation removed. Historical spec: tests/e2e/storefront/ux/visual.spec.ts. 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6" s="30" t="inlineStr">
        <is>
          <t>N/A</t>
        </is>
      </c>
      <c r="U136" s="31" t="n"/>
      <c r="V136" s="31" t="n"/>
      <c r="W136" s="31" t="n"/>
      <c r="X136" s="31" t="n"/>
      <c r="Y136" s="17" t="inlineStr">
        <is>
          <t>MS-V2-024</t>
        </is>
      </c>
    </row>
    <row r="137" ht="150" customHeight="1">
      <c r="A137" s="12" t="inlineStr">
        <is>
          <t>MS-UX-003</t>
        </is>
      </c>
      <c r="B137" s="25" t="inlineStr">
        <is>
          <t>Storefront</t>
        </is>
      </c>
      <c r="C137" s="25" t="inlineStr">
        <is>
          <t>12. Accessibility, visual &amp; errors</t>
        </is>
      </c>
      <c r="D137" s="25" t="inlineStr">
        <is>
          <t>Error pages</t>
        </is>
      </c>
      <c r="E137" s="25" t="inlineStr">
        <is>
          <t>An unknown URL returns HTTP 404 with the branded not-found page, and its 홈으로 돌아가기 button returns to the homepage.</t>
        </is>
      </c>
      <c r="F137" s="13" t="inlineStr">
        <is>
          <t>Medium</t>
        </is>
      </c>
      <c r="G137" s="25" t="inlineStr">
        <is>
          <t>Negative</t>
        </is>
      </c>
      <c r="H137" s="25" t="inlineStr">
        <is>
          <t>Anonymous session.</t>
        </is>
      </c>
      <c r="I137" s="25" t="inlineStr">
        <is>
          <t>URL /kr/this-page-does-not-exist-e2e-check</t>
        </is>
      </c>
      <c r="J137" s="25" t="inlineStr">
        <is>
          <t>1. Open /kr/this-page-does-not-exist-e2e-check.
2. Check the HTTP response status.
3. Check the not-found heading.
4. Click 홈으로 돌아가기 (retry if the first click does nothing while the page hydrates).
5. Check the homepage hero heading.</t>
        </is>
      </c>
      <c r="K137"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7" s="13" t="inlineStr">
        <is>
          <t>Automated</t>
        </is>
      </c>
      <c r="M137" s="25" t="inlineStr">
        <is>
          <t>Production-safe</t>
        </is>
      </c>
      <c r="N137" s="25" t="inlineStr">
        <is>
          <t>-</t>
        </is>
      </c>
      <c r="O137" s="25" t="inlineStr">
        <is>
          <t>tests/e2e/storefront/ux/error-pages.spec.ts</t>
        </is>
      </c>
      <c r="P137" s="25" t="inlineStr">
        <is>
          <t>MS-UX-003 unknown route serves the 404 page with a working way back home</t>
        </is>
      </c>
      <c r="Q137" s="25" t="inlineStr">
        <is>
          <t>@regression @production</t>
        </is>
      </c>
      <c r="R137" s="13" t="n">
        <v>1</v>
      </c>
      <c r="S137"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7" s="14" t="inlineStr">
        <is>
          <t>Pass</t>
        </is>
      </c>
      <c r="U137" s="15" t="n"/>
      <c r="V137" s="15" t="inlineStr">
        <is>
          <t>Codex / Playwright</t>
        </is>
      </c>
      <c r="W137" s="15" t="inlineStr">
        <is>
          <t>2026-10-23</t>
        </is>
      </c>
      <c r="X137" s="15" t="inlineStr">
        <is>
          <t>dev-2; retries=0. Full desktop: 1 passed, 0 failed, 0 skipped. See Dev-2 Audit 2026-10-23.</t>
        </is>
      </c>
      <c r="Y137" s="25" t="inlineStr">
        <is>
          <t>MS-V2-043</t>
        </is>
      </c>
    </row>
    <row r="138" ht="150" customHeight="1">
      <c r="A138" s="12" t="inlineStr">
        <is>
          <t>MS-UX-004</t>
        </is>
      </c>
      <c r="B138" s="25" t="inlineStr">
        <is>
          <t>Storefront</t>
        </is>
      </c>
      <c r="C138" s="25" t="inlineStr">
        <is>
          <t>12. Accessibility, visual &amp; errors</t>
        </is>
      </c>
      <c r="D138" s="25" t="inlineStr">
        <is>
          <t>Axe accessibility</t>
        </is>
      </c>
      <c r="E138" s="25" t="inlineStr">
        <is>
          <t>Six key storefront pages have no new critical or serious WCAG 2.1 AA violations beyond the recorded known defects.</t>
        </is>
      </c>
      <c r="F138" s="13" t="inlineStr">
        <is>
          <t>High</t>
        </is>
      </c>
      <c r="G138" s="25" t="inlineStr">
        <is>
          <t>Accessibility</t>
        </is>
      </c>
      <c r="H138" s="25" t="inlineStr">
        <is>
          <t>Anonymous session (empty cart for the cart page).</t>
        </is>
      </c>
      <c r="I138"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8" s="25" t="inlineStr">
        <is>
          <t>1. Open the page under test.
2. Wait for its content anchor to be visible.
3. Run an axe-core scan with the WCAG 2.0/2.1 A and AA rules.
4. Compare critical/serious violations with the known-defect list.
5. Repeat for all six pages.</t>
        </is>
      </c>
      <c r="K138"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8" s="13" t="inlineStr">
        <is>
          <t>Automated</t>
        </is>
      </c>
      <c r="M138" s="25" t="inlineStr">
        <is>
          <t>Production-safe</t>
        </is>
      </c>
      <c r="N138" s="25" t="inlineStr">
        <is>
          <t>-</t>
        </is>
      </c>
      <c r="O138" s="25" t="inlineStr">
        <is>
          <t>tests/e2e/storefront/ux/axe-accessibility.spec.ts</t>
        </is>
      </c>
      <c r="P138" s="25" t="inlineStr">
        <is>
          <t>MS-UX-004 home has no new WCAG AA violations</t>
        </is>
      </c>
      <c r="Q138" s="25" t="inlineStr">
        <is>
          <t>@regression @a11y @production</t>
        </is>
      </c>
      <c r="R138" s="13" t="n">
        <v>6</v>
      </c>
      <c r="S138"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8" s="14" t="inlineStr">
        <is>
          <t>Pass</t>
        </is>
      </c>
      <c r="U138" s="15" t="n"/>
      <c r="V138" s="15" t="inlineStr">
        <is>
          <t>Codex / Playwright</t>
        </is>
      </c>
      <c r="W138" s="15" t="inlineStr">
        <is>
          <t>2026-10-23</t>
        </is>
      </c>
      <c r="X138" s="15" t="inlineStr">
        <is>
          <t>dev-2; retries=0. Full desktop: 6 passed, 0 failed, 0 skipped. See Dev-2 Audit 2026-10-23.</t>
        </is>
      </c>
      <c r="Y138" s="25" t="inlineStr">
        <is>
          <t>MS-V2-106</t>
        </is>
      </c>
    </row>
    <row r="139" ht="150" customHeight="1">
      <c r="A139" s="12" t="inlineStr">
        <is>
          <t>MS-SEC-001</t>
        </is>
      </c>
      <c r="B139" s="25" t="inlineStr">
        <is>
          <t>Suite</t>
        </is>
      </c>
      <c r="C139" s="25" t="inlineStr">
        <is>
          <t>13. Suite safety &amp; resilience</t>
        </is>
      </c>
      <c r="D139" s="25" t="inlineStr">
        <is>
          <t>Internal origin scope</t>
        </is>
      </c>
      <c r="E139" s="25" t="inlineStr">
        <is>
          <t>All first-party musticker.com hostnames are treated as eligible to receive the internal-origin WAF key header.</t>
        </is>
      </c>
      <c r="F139" s="13" t="inlineStr">
        <is>
          <t>High</t>
        </is>
      </c>
      <c r="G139" s="25" t="inlineStr">
        <is>
          <t>Security</t>
        </is>
      </c>
      <c r="H139" s="25" t="inlineStr">
        <is>
          <t>None (pure logic check, no browser or network).</t>
        </is>
      </c>
      <c r="I139" s="25" t="inlineStr">
        <is>
          <t>musticker.com, www.musticker.com, static.musticker.com, api.musticker.com, dev.musticker.com, dev-3.musticker.com, dev-static-1-api.musticker.com</t>
        </is>
      </c>
      <c r="J139" s="25" t="inlineStr">
        <is>
          <t>1. For each first-party hostname, call the host check isMustickerHost(hostname) from tests/fixtures/hosts.ts.
2. Record the result for each hostname.</t>
        </is>
      </c>
      <c r="K139" s="25" t="inlineStr">
        <is>
          <t>isMustickerHost returns true for all 7 hostnames.</t>
        </is>
      </c>
      <c r="L139" s="13" t="inlineStr">
        <is>
          <t>Automated</t>
        </is>
      </c>
      <c r="M139" s="25" t="inlineStr">
        <is>
          <t>Any</t>
        </is>
      </c>
      <c r="N139" s="25" t="inlineStr">
        <is>
          <t>-</t>
        </is>
      </c>
      <c r="O139" s="25" t="inlineStr">
        <is>
          <t>tests/e2e/storefront/security/internal-origin-scope.spec.ts</t>
        </is>
      </c>
      <c r="P139" s="25" t="inlineStr">
        <is>
          <t>MS-SEC-001 first-party musticker hosts are in scope</t>
        </is>
      </c>
      <c r="Q139" s="25" t="inlineStr">
        <is>
          <t>@security</t>
        </is>
      </c>
      <c r="R139" s="13" t="n">
        <v>1</v>
      </c>
      <c r="S139" s="25" t="inlineStr">
        <is>
          <t>Priority inferred. Not in test-case.md. This is a unit test of the test harness (which requests carry the x-internal-origin CI key), not of the storefront; there is no manual UI equivalent.</t>
        </is>
      </c>
      <c r="T139" s="14" t="inlineStr">
        <is>
          <t>Pass</t>
        </is>
      </c>
      <c r="U139" s="15" t="n"/>
      <c r="V139" s="15" t="inlineStr">
        <is>
          <t>Codex / Playwright</t>
        </is>
      </c>
      <c r="W139" s="15" t="inlineStr">
        <is>
          <t>2026-10-23</t>
        </is>
      </c>
      <c r="X139" s="15" t="inlineStr">
        <is>
          <t>dev-2; retries=0. Full desktop: 1 passed, 0 failed, 0 skipped. See Dev-2 Audit 2026-10-23.</t>
        </is>
      </c>
      <c r="Y139" s="25" t="n"/>
    </row>
    <row r="140" ht="150" customHeight="1">
      <c r="A140" s="12" t="inlineStr">
        <is>
          <t>MS-SEC-002</t>
        </is>
      </c>
      <c r="B140" s="25" t="inlineStr">
        <is>
          <t>Suite</t>
        </is>
      </c>
      <c r="C140" s="25" t="inlineStr">
        <is>
          <t>13. Suite safety &amp; resilience</t>
        </is>
      </c>
      <c r="D140" s="25" t="inlineStr">
        <is>
          <t>Internal origin scope</t>
        </is>
      </c>
      <c r="E140" s="25" t="inlineStr">
        <is>
          <t>Third-party and look-alike hostnames are never treated as eligible to receive the internal-origin WAF key header.</t>
        </is>
      </c>
      <c r="F140" s="13" t="inlineStr">
        <is>
          <t>High</t>
        </is>
      </c>
      <c r="G140" s="25" t="inlineStr">
        <is>
          <t>Security</t>
        </is>
      </c>
      <c r="H140" s="25" t="inlineStr">
        <is>
          <t>None (pure logic check, no browser or network).</t>
        </is>
      </c>
      <c r="I140" s="25" t="inlineStr">
        <is>
          <t>Third parties: www.google.com, www.googletagmanager.com, analytics.google.com, ad.doubleclick.net, googleads.g.doubleclick.net, wcs.naver.com, wcs.pstatic.net, nam.veta.naver.com; look-alikes: foomusticker.com, notmusticker.com, mustickerAcom; suffix attack: musticker.com.evil.net</t>
        </is>
      </c>
      <c r="J140" s="25" t="inlineStr">
        <is>
          <t>1. For each third-party, look-alike and suffix-attack hostname, call isMustickerHost(hostname).
2. Record the result for each hostname.</t>
        </is>
      </c>
      <c r="K140" s="25" t="inlineStr">
        <is>
          <t>isMustickerHost returns false for all 12 hostnames.</t>
        </is>
      </c>
      <c r="L140" s="13" t="inlineStr">
        <is>
          <t>Automated</t>
        </is>
      </c>
      <c r="M140" s="25" t="inlineStr">
        <is>
          <t>Any</t>
        </is>
      </c>
      <c r="N140" s="25" t="inlineStr">
        <is>
          <t>-</t>
        </is>
      </c>
      <c r="O140" s="25" t="inlineStr">
        <is>
          <t>tests/e2e/storefront/security/internal-origin-scope.spec.ts</t>
        </is>
      </c>
      <c r="P140" s="25" t="inlineStr">
        <is>
          <t>MS-SEC-002 third-party and look-alike hosts are out of scope</t>
        </is>
      </c>
      <c r="Q140" s="25" t="inlineStr">
        <is>
          <t>@security</t>
        </is>
      </c>
      <c r="R140" s="13" t="n">
        <v>1</v>
      </c>
      <c r="S140" s="25" t="inlineStr">
        <is>
          <t>Priority inferred. Not in test-case.md. Guards against an unescaped-dot regex that would send the CI secret to domains like foomusticker.com. Harness unit test; no manual UI equivalent.</t>
        </is>
      </c>
      <c r="T140" s="14" t="inlineStr">
        <is>
          <t>Pass</t>
        </is>
      </c>
      <c r="U140" s="15" t="n"/>
      <c r="V140" s="15" t="inlineStr">
        <is>
          <t>Codex / Playwright</t>
        </is>
      </c>
      <c r="W140" s="15" t="inlineStr">
        <is>
          <t>2026-10-23</t>
        </is>
      </c>
      <c r="X140" s="15" t="inlineStr">
        <is>
          <t>dev-2; retries=0. Full desktop: 1 passed, 0 failed, 0 skipped. See Dev-2 Audit 2026-10-23.</t>
        </is>
      </c>
      <c r="Y140" s="25" t="n"/>
    </row>
    <row r="141" ht="150" customHeight="1">
      <c r="A141" s="12" t="inlineStr">
        <is>
          <t>MS-SEC-003</t>
        </is>
      </c>
      <c r="B141" s="25" t="inlineStr">
        <is>
          <t>Suite</t>
        </is>
      </c>
      <c r="C141" s="25" t="inlineStr">
        <is>
          <t>13. Suite safety &amp; resilience</t>
        </is>
      </c>
      <c r="D141" s="25" t="inlineStr">
        <is>
          <t>Internal origin scope</t>
        </is>
      </c>
      <c r="E141" s="25" t="inlineStr">
        <is>
          <t>Production uses the production internal-origin key variable and every dev-* dev environment uses the dev key variable.</t>
        </is>
      </c>
      <c r="F141" s="13" t="inlineStr">
        <is>
          <t>High</t>
        </is>
      </c>
      <c r="G141" s="25" t="inlineStr">
        <is>
          <t>Security</t>
        </is>
      </c>
      <c r="H141" s="25" t="inlineStr">
        <is>
          <t>None (pure logic check, no browser or network).</t>
        </is>
      </c>
      <c r="I141" s="25" t="inlineStr">
        <is>
          <t>production; dev-1, dev-2, dev-3, dev-4, dev-5, dev-6, static-7, static-8</t>
        </is>
      </c>
      <c r="J141" s="25" t="inlineStr">
        <is>
          <t>1. Call internalOriginKeyVarFor('production').
2. Call internalOriginKeyVarFor for each of the eight dev-* environments.</t>
        </is>
      </c>
      <c r="K141" s="25" t="inlineStr">
        <is>
          <t>production resolves to 'INTERNAL_ORIGIN_KEY'. Each dev-* environment resolves to 'DEV_INTERNAL_ORIGIN_KEY'.</t>
        </is>
      </c>
      <c r="L141" s="13" t="inlineStr">
        <is>
          <t>Automated</t>
        </is>
      </c>
      <c r="M141" s="25" t="inlineStr">
        <is>
          <t>Any</t>
        </is>
      </c>
      <c r="N141" s="25" t="inlineStr">
        <is>
          <t>-</t>
        </is>
      </c>
      <c r="O141" s="25" t="inlineStr">
        <is>
          <t>tests/e2e/storefront/security/internal-origin-scope.spec.ts</t>
        </is>
      </c>
      <c r="P141" s="25" t="inlineStr">
        <is>
          <t>MS-SEC-003 each environment resolves to its own key</t>
        </is>
      </c>
      <c r="Q141" s="25" t="inlineStr">
        <is>
          <t>@security</t>
        </is>
      </c>
      <c r="R141" s="13" t="n">
        <v>1</v>
      </c>
      <c r="S141" s="25" t="inlineStr">
        <is>
          <t>Priority inferred. Not in test-case.md. Prevents the production credential being sent to less-guarded dev servers. Harness unit test (tests/fixtures/env.ts).</t>
        </is>
      </c>
      <c r="T141" s="14" t="inlineStr">
        <is>
          <t>Pass</t>
        </is>
      </c>
      <c r="U141" s="15" t="n"/>
      <c r="V141" s="15" t="inlineStr">
        <is>
          <t>Codex / Playwright</t>
        </is>
      </c>
      <c r="W141" s="15" t="inlineStr">
        <is>
          <t>2026-10-23</t>
        </is>
      </c>
      <c r="X141" s="15" t="inlineStr">
        <is>
          <t>dev-2; retries=0. Full desktop: 1 passed, 0 failed, 0 skipped. See Dev-2 Audit 2026-10-23.</t>
        </is>
      </c>
      <c r="Y141" s="25" t="n"/>
    </row>
    <row r="142" ht="150" customHeight="1">
      <c r="A142" s="12" t="inlineStr">
        <is>
          <t>MS-SEC-004</t>
        </is>
      </c>
      <c r="B142" s="25" t="inlineStr">
        <is>
          <t>Suite</t>
        </is>
      </c>
      <c r="C142" s="25" t="inlineStr">
        <is>
          <t>13. Suite safety &amp; resilience</t>
        </is>
      </c>
      <c r="D142" s="25" t="inlineStr">
        <is>
          <t>Internal origin scope</t>
        </is>
      </c>
      <c r="E142" s="25" t="inlineStr">
        <is>
          <t>An unrecognised target environment gets no internal-origin key at all.</t>
        </is>
      </c>
      <c r="F142" s="13" t="inlineStr">
        <is>
          <t>High</t>
        </is>
      </c>
      <c r="G142" s="25" t="inlineStr">
        <is>
          <t>Security</t>
        </is>
      </c>
      <c r="H142" s="25" t="inlineStr">
        <is>
          <t>None (pure logic check, no browser or network).</t>
        </is>
      </c>
      <c r="I142" s="25" t="inlineStr">
        <is>
          <t>environment = undefined (BASE_URL not in the environment registry)</t>
        </is>
      </c>
      <c r="J142" s="25" t="inlineStr">
        <is>
          <t>1. Call internalOriginKeyVarFor(undefined).
2. Check the returned value.</t>
        </is>
      </c>
      <c r="K142" s="25" t="inlineStr">
        <is>
          <t>The result is undefined (no key variable, so no header is sent).</t>
        </is>
      </c>
      <c r="L142" s="13" t="inlineStr">
        <is>
          <t>Automated</t>
        </is>
      </c>
      <c r="M142" s="25" t="inlineStr">
        <is>
          <t>Any</t>
        </is>
      </c>
      <c r="N142" s="25" t="inlineStr">
        <is>
          <t>-</t>
        </is>
      </c>
      <c r="O142" s="25" t="inlineStr">
        <is>
          <t>tests/e2e/storefront/security/internal-origin-scope.spec.ts</t>
        </is>
      </c>
      <c r="P142" s="25" t="inlineStr">
        <is>
          <t>MS-SEC-004 an unrecognised environment gets no key at all</t>
        </is>
      </c>
      <c r="Q142" s="25" t="inlineStr">
        <is>
          <t>@security</t>
        </is>
      </c>
      <c r="R142" s="13" t="n">
        <v>1</v>
      </c>
      <c r="S142" s="25" t="inlineStr">
        <is>
          <t>Priority inferred. Not in test-case.md. Harness unit test; guessing production for an ad-hoc BASE_URL would be unsafe.</t>
        </is>
      </c>
      <c r="T142" s="14" t="inlineStr">
        <is>
          <t>Pass</t>
        </is>
      </c>
      <c r="U142" s="15" t="n"/>
      <c r="V142" s="15" t="inlineStr">
        <is>
          <t>Codex / Playwright</t>
        </is>
      </c>
      <c r="W142" s="15" t="inlineStr">
        <is>
          <t>2026-10-23</t>
        </is>
      </c>
      <c r="X142" s="15" t="inlineStr">
        <is>
          <t>dev-2; retries=0. Full desktop: 1 passed, 0 failed, 0 skipped. See Dev-2 Audit 2026-10-23.</t>
        </is>
      </c>
      <c r="Y142" s="25" t="n"/>
    </row>
    <row r="143" ht="150" customHeight="1">
      <c r="A143" s="12" t="inlineStr">
        <is>
          <t>MS-WAF-001</t>
        </is>
      </c>
      <c r="B143" s="25" t="inlineStr">
        <is>
          <t>Suite</t>
        </is>
      </c>
      <c r="C143" s="25" t="inlineStr">
        <is>
          <t>13. Suite safety &amp; resilience</t>
        </is>
      </c>
      <c r="D143" s="25" t="inlineStr">
        <is>
          <t>Throttle detection</t>
        </is>
      </c>
      <c r="E143" s="25" t="inlineStr">
        <is>
          <t>When the page document loads but its assets are all refused with 403, the navigation helper retries the full ladder and reports WAF throttling.</t>
        </is>
      </c>
      <c r="F143" s="13" t="inlineStr">
        <is>
          <t>Medium</t>
        </is>
      </c>
      <c r="G143" s="25" t="inlineStr">
        <is>
          <t>Negative</t>
        </is>
      </c>
      <c r="H143" s="25" t="inlineStr">
        <is>
          <t>Hermetic: every request is answered by a Playwright route mock (no real server); plain Playwright fixture without the console/network guard.</t>
        </is>
      </c>
      <c r="I143" s="25" t="inlineStr">
        <is>
          <t>Mocked document: 200 HTML shell with 1 stylesheet and 3 scripts under /_nuxt/; all other requests 403 'Forbidden'; target path /kr/stickers/die-cut-sticker; retry ladder 2s, 4s, 8s, 15s, 25s (6 attempts)</t>
        </is>
      </c>
      <c r="J143"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43" s="25" t="inlineStr">
        <is>
          <t>Navigation fails with an error containing 'assets were refused'. The document was requested exactly throttleRetryAttempts times (6: one initial request plus 5 retries).</t>
        </is>
      </c>
      <c r="L143" s="13" t="inlineStr">
        <is>
          <t>Automated</t>
        </is>
      </c>
      <c r="M143" s="25" t="inlineStr">
        <is>
          <t>Any</t>
        </is>
      </c>
      <c r="N143" s="25" t="inlineStr">
        <is>
          <t>-</t>
        </is>
      </c>
      <c r="O143" s="25" t="inlineStr">
        <is>
          <t>tests/e2e/storefront/security/throttle-detection.spec.ts</t>
        </is>
      </c>
      <c r="P143" s="25" t="inlineStr">
        <is>
          <t>MS-WAF-001 a subresource 403 storm is reported as throttling, not as missing content</t>
        </is>
      </c>
      <c r="Q143" s="25" t="inlineStr">
        <is>
          <t>@security</t>
        </is>
      </c>
      <c r="R143" s="13" t="n">
        <v>1</v>
      </c>
      <c r="S143"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43" s="14" t="inlineStr">
        <is>
          <t>Pass</t>
        </is>
      </c>
      <c r="U143" s="15" t="n"/>
      <c r="V143" s="15" t="inlineStr">
        <is>
          <t>Codex / Playwright</t>
        </is>
      </c>
      <c r="W143" s="15" t="inlineStr">
        <is>
          <t>2026-10-23</t>
        </is>
      </c>
      <c r="X143" s="15" t="inlineStr">
        <is>
          <t>dev-2; retries=0. Full desktop: 1 passed, 0 failed, 0 skipped. See Dev-2 Audit 2026-10-23.</t>
        </is>
      </c>
      <c r="Y143" s="25" t="n"/>
    </row>
    <row r="144" ht="150" customHeight="1">
      <c r="A144" s="12" t="inlineStr">
        <is>
          <t>MS-WAF-002</t>
        </is>
      </c>
      <c r="B144" s="25" t="inlineStr">
        <is>
          <t>Suite</t>
        </is>
      </c>
      <c r="C144" s="25" t="inlineStr">
        <is>
          <t>13. Suite safety &amp; resilience</t>
        </is>
      </c>
      <c r="D144" s="25" t="inlineStr">
        <is>
          <t>Throttle detection</t>
        </is>
      </c>
      <c r="E144" s="25" t="inlineStr">
        <is>
          <t>A page whose document and assets all load successfully is returned by the navigation helper without any retry.</t>
        </is>
      </c>
      <c r="F144" s="13" t="inlineStr">
        <is>
          <t>Medium</t>
        </is>
      </c>
      <c r="G144" s="25" t="inlineStr">
        <is>
          <t>Positive</t>
        </is>
      </c>
      <c r="H144" s="25" t="inlineStr">
        <is>
          <t>Hermetic route mock (no real server); plain Playwright fixture.</t>
        </is>
      </c>
      <c r="I144" s="25" t="inlineStr">
        <is>
          <t>Mocked document: 200 HTML shell; all other requests 200 with empty body; target path /kr/stickers/die-cut-sticker</t>
        </is>
      </c>
      <c r="J144" s="25" t="inlineStr">
        <is>
          <t>1. Mock all requests: documents return the 200 HTML shell, every other resource returns 200.
2. Navigate to /kr/stickers/die-cut-sticker with gotoStorefront.
3. Check the returned response and count document requests.</t>
        </is>
      </c>
      <c r="K144" s="25" t="inlineStr">
        <is>
          <t>The returned response status is 200. The document was requested exactly once.</t>
        </is>
      </c>
      <c r="L144" s="13" t="inlineStr">
        <is>
          <t>Automated</t>
        </is>
      </c>
      <c r="M144" s="25" t="inlineStr">
        <is>
          <t>Any</t>
        </is>
      </c>
      <c r="N144" s="25" t="inlineStr">
        <is>
          <t>-</t>
        </is>
      </c>
      <c r="O144" s="25" t="inlineStr">
        <is>
          <t>tests/e2e/storefront/security/throttle-detection.spec.ts</t>
        </is>
      </c>
      <c r="P144" s="25" t="inlineStr">
        <is>
          <t>MS-WAF-002 a clean page is returned untouched</t>
        </is>
      </c>
      <c r="Q144" s="25" t="inlineStr">
        <is>
          <t>@security</t>
        </is>
      </c>
      <c r="R144" s="13" t="n">
        <v>1</v>
      </c>
      <c r="S144" s="25" t="inlineStr">
        <is>
          <t>Priority inferred. Not in test-case.md. Harness self-test; no manual equivalent.</t>
        </is>
      </c>
      <c r="T144" s="14" t="inlineStr">
        <is>
          <t>Pass</t>
        </is>
      </c>
      <c r="U144" s="15" t="n"/>
      <c r="V144" s="15" t="inlineStr">
        <is>
          <t>Codex / Playwright</t>
        </is>
      </c>
      <c r="W144" s="15" t="inlineStr">
        <is>
          <t>2026-10-23</t>
        </is>
      </c>
      <c r="X144" s="15" t="inlineStr">
        <is>
          <t>dev-2; retries=0. Full desktop: 1 passed, 0 failed, 0 skipped. See Dev-2 Audit 2026-10-23.</t>
        </is>
      </c>
      <c r="Y144" s="25" t="n"/>
    </row>
    <row r="145" ht="150" customHeight="1">
      <c r="A145" s="12" t="inlineStr">
        <is>
          <t>MS-WAF-003</t>
        </is>
      </c>
      <c r="B145" s="25" t="inlineStr">
        <is>
          <t>Suite</t>
        </is>
      </c>
      <c r="C145" s="25" t="inlineStr">
        <is>
          <t>13. Suite safety &amp; resilience</t>
        </is>
      </c>
      <c r="D145" s="25" t="inlineStr">
        <is>
          <t>Throttle detection</t>
        </is>
      </c>
      <c r="E145" s="25" t="inlineStr">
        <is>
          <t>A single refused asset is passed through as a real failure and is not mistaken for WAF throttling.</t>
        </is>
      </c>
      <c r="F145" s="13" t="inlineStr">
        <is>
          <t>Medium</t>
        </is>
      </c>
      <c r="G145" s="25" t="inlineStr">
        <is>
          <t>Boundary</t>
        </is>
      </c>
      <c r="H145" s="25" t="inlineStr">
        <is>
          <t>Hermetic route mock (no real server); plain Playwright fixture.</t>
        </is>
      </c>
      <c r="I145" s="25" t="inlineStr">
        <is>
          <t>Mocked document: 200 HTML shell; only /_nuxt/a.css returns 403, all other assets 200; threshold is 3 refused assets</t>
        </is>
      </c>
      <c r="J145" s="25" t="inlineStr">
        <is>
          <t>1. Mock all requests: documents return the 200 HTML shell, /_nuxt/a.css returns 403, other assets return 200.
2. Navigate to /kr/stickers/die-cut-sticker with gotoStorefront.
3. Check the returned response and count document requests.</t>
        </is>
      </c>
      <c r="K145" s="25" t="inlineStr">
        <is>
          <t>The returned response status is 200. The document was requested exactly once (no retry ladder).</t>
        </is>
      </c>
      <c r="L145" s="13" t="inlineStr">
        <is>
          <t>Automated</t>
        </is>
      </c>
      <c r="M145" s="25" t="inlineStr">
        <is>
          <t>Any</t>
        </is>
      </c>
      <c r="N145" s="25" t="inlineStr">
        <is>
          <t>-</t>
        </is>
      </c>
      <c r="O145" s="25" t="inlineStr">
        <is>
          <t>tests/e2e/storefront/security/throttle-detection.spec.ts</t>
        </is>
      </c>
      <c r="P145" s="25" t="inlineStr">
        <is>
          <t>MS-WAF-003 one refused asset is left alone, not relabelled as throttling</t>
        </is>
      </c>
      <c r="Q145" s="25" t="inlineStr">
        <is>
          <t>@security</t>
        </is>
      </c>
      <c r="R145" s="13" t="n">
        <v>1</v>
      </c>
      <c r="S145" s="25" t="inlineStr">
        <is>
          <t>Priority inferred. Not in test-case.md. Harness self-test: one refused asset is below the 3-asset threshold (subresourceBlockThreshold).</t>
        </is>
      </c>
      <c r="T145" s="14" t="inlineStr">
        <is>
          <t>Pass</t>
        </is>
      </c>
      <c r="U145" s="15" t="n"/>
      <c r="V145" s="15" t="inlineStr">
        <is>
          <t>Codex / Playwright</t>
        </is>
      </c>
      <c r="W145" s="15" t="inlineStr">
        <is>
          <t>2026-10-23</t>
        </is>
      </c>
      <c r="X145" s="15" t="inlineStr">
        <is>
          <t>dev-2; retries=0. Full desktop: 1 passed, 0 failed, 0 skipped. See Dev-2 Audit 2026-10-23.</t>
        </is>
      </c>
      <c r="Y145" s="25" t="n"/>
    </row>
    <row r="146" ht="150" customHeight="1">
      <c r="A146" s="12" t="inlineStr">
        <is>
          <t>MS-ADMO-001</t>
        </is>
      </c>
      <c r="B146" s="25" t="inlineStr">
        <is>
          <t>Storefront + Admin</t>
        </is>
      </c>
      <c r="C146" s="25" t="inlineStr">
        <is>
          <t>14. Admin - order processing</t>
        </is>
      </c>
      <c r="D146" s="25" t="inlineStr">
        <is>
          <t>Order processing</t>
        </is>
      </c>
      <c r="E146" s="25" t="inlineStr">
        <is>
          <t>One paid order is taken from artwork upload through rejection, resubmission, proof approval, production and shipping to delivered across the storefront and the admin panel.</t>
        </is>
      </c>
      <c r="F146" s="13" t="inlineStr">
        <is>
          <t>Critical</t>
        </is>
      </c>
      <c r="G146" s="25" t="inlineStr">
        <is>
          <t>E2E</t>
        </is>
      </c>
      <c r="H146" s="25" t="inlineStr">
        <is>
          <t>E2E_ENVIRONMENT=dev-1.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6"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6"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6"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6" s="13" t="inlineStr">
        <is>
          <t>Automated</t>
        </is>
      </c>
      <c r="M146" s="25" t="inlineStr">
        <is>
          <t>Dev only</t>
        </is>
      </c>
      <c r="N146" s="25" t="inlineStr">
        <is>
          <t>RUN_ADMIN_DESTRUCTIVE_E2E=true + saved admin session (.auth/admin-static-1.json) + seeded member credentials + ADMIN_E2E_ORDER_NO; refuses any environment but dev-1 (npm run test:admin:destructive).</t>
        </is>
      </c>
      <c r="O146" s="25" t="inlineStr">
        <is>
          <t>tests/e2e/admin/orders/order-processing.spec.ts</t>
        </is>
      </c>
      <c r="P146" s="25" t="inlineStr">
        <is>
          <t>MS-ADMO-001 artwork review, customer proof approval, production and delivery</t>
        </is>
      </c>
      <c r="Q146" s="25" t="inlineStr">
        <is>
          <t>@admin @e2e @destructive @slow @credentialed</t>
        </is>
      </c>
      <c r="R146" s="13" t="n">
        <v>1</v>
      </c>
      <c r="S146"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6" s="14" t="inlineStr">
        <is>
          <t>Pass</t>
        </is>
      </c>
      <c r="U146" s="15" t="n"/>
      <c r="V146" s="15" t="inlineStr">
        <is>
          <t>Claude Code, for Rome</t>
        </is>
      </c>
      <c r="W146" s="15" t="inlineStr">
        <is>
          <t>2026-10-14</t>
        </is>
      </c>
      <c r="X146" s="15" t="inlineStr">
        <is>
          <t>dev-1.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c r="Y146" s="25" t="inlineStr">
        <is>
          <t>MS-ADM-001</t>
        </is>
      </c>
    </row>
    <row r="147" ht="150" customHeight="1">
      <c r="A147" s="12" t="inlineStr">
        <is>
          <t>MS-ADMO-002</t>
        </is>
      </c>
      <c r="B147" s="25" t="inlineStr">
        <is>
          <t>Admin</t>
        </is>
      </c>
      <c r="C147" s="25" t="inlineStr">
        <is>
          <t>14. Admin - order processing</t>
        </is>
      </c>
      <c r="D147" s="25" t="inlineStr">
        <is>
          <t>Artwork evaluation</t>
        </is>
      </c>
      <c r="E147" s="25" t="inlineStr">
        <is>
          <t>Clicking Make Evaluation immediately sets the item to 검토 중, and submitting Passed moves it to 검토 승인 with the proof form shown.</t>
        </is>
      </c>
      <c r="F147" s="13" t="inlineStr">
        <is>
          <t>High</t>
        </is>
      </c>
      <c r="G147" s="25" t="inlineStr">
        <is>
          <t>State transition</t>
        </is>
      </c>
      <c r="H147" s="25" t="inlineStr">
        <is>
          <t>Admin panel dev-1 (https://dev-static-1-admin-panel.musticker.com) signed in with a staff account. Test order whose item is at 디자인 파일 제출 완료 (customer uploaded a file).</t>
        </is>
      </c>
      <c r="I147" s="25" t="inlineStr">
        <is>
          <t>Seed test order of the QA member.</t>
        </is>
      </c>
      <c r="J147"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7" s="25" t="inlineStr">
        <is>
          <t>Step 3: the item is already 디자인 파일 검토 중 (activity CA) even though nothing was submitted. Step 4: "Artwork evaluation completed successfully."; item 검토 승인 (PE). Step 5: the drawer shows the Send Final Proof form.</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Known defect 2026-09-25: the Make Evaluation toggle defaults to Failed, so submitting without choosing rejects the customer's file. Clicking Make Evaluation alone changes status; confirm with product whether opening the panel should be a state change.</t>
        </is>
      </c>
      <c r="T147" s="14" t="inlineStr">
        <is>
          <t>Not Run</t>
        </is>
      </c>
      <c r="U147" s="15" t="n"/>
      <c r="V147" s="15" t="n"/>
      <c r="W147" s="15" t="n"/>
      <c r="X147" s="15" t="n"/>
      <c r="Y147" s="25" t="inlineStr">
        <is>
          <t>MS-ADM-007</t>
        </is>
      </c>
    </row>
    <row r="148" ht="150" customHeight="1">
      <c r="A148" s="12" t="inlineStr">
        <is>
          <t>MS-ADMO-003</t>
        </is>
      </c>
      <c r="B148" s="25" t="inlineStr">
        <is>
          <t>Admin</t>
        </is>
      </c>
      <c r="C148" s="25" t="inlineStr">
        <is>
          <t>14. Admin - order processing</t>
        </is>
      </c>
      <c r="D148" s="25" t="inlineStr">
        <is>
          <t>Artwork evaluation</t>
        </is>
      </c>
      <c r="E148" s="25" t="inlineStr">
        <is>
          <t>The evaluation toggle starts on Failed and a Failed evaluation cannot be submitted without feedback.</t>
        </is>
      </c>
      <c r="F148" s="13" t="inlineStr">
        <is>
          <t>High</t>
        </is>
      </c>
      <c r="G148" s="25" t="inlineStr">
        <is>
          <t>Validation</t>
        </is>
      </c>
      <c r="H148" s="25" t="inlineStr">
        <is>
          <t>Admin panel dev-1 (https://dev-static-1-admin-panel.musticker.com) signed in with a staff account. Test order item at 디자인 파일 제출 완료.</t>
        </is>
      </c>
      <c r="I148" s="25" t="inlineStr">
        <is>
          <t>Feedback text "QA: resolution too low".</t>
        </is>
      </c>
      <c r="J148" s="25" t="inlineStr">
        <is>
          <t>1. Open the item drawer and click Make Evaluation.
2. Observe which result (Passed/Failed) is preselected.
3. With Failed selected and the "Enter feedback here..." box empty, click Submit Evaluation.
4. Enter feedback and submit.</t>
        </is>
      </c>
      <c r="K148" s="25" t="inlineStr">
        <is>
          <t>Step 2: currently Failed is preselected (defect, see notes). Step 3: the submission is refused and feedback is flagged as required; the item stays 검토 중. Step 4: saved; item 검토 반려.</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Known defect 2026-09-25: the Make Evaluation toggle defaults to Failed, so submitting without choosing rejects the customer's file.</t>
        </is>
      </c>
      <c r="T148" s="14" t="inlineStr">
        <is>
          <t>Not Run</t>
        </is>
      </c>
      <c r="U148" s="15" t="n"/>
      <c r="V148" s="15" t="n"/>
      <c r="W148" s="15" t="n"/>
      <c r="X148" s="15" t="n"/>
      <c r="Y148" s="25" t="inlineStr">
        <is>
          <t>MS-ADM-008</t>
        </is>
      </c>
    </row>
    <row r="149" ht="150" customHeight="1">
      <c r="A149" s="12" t="inlineStr">
        <is>
          <t>MS-ADMO-004</t>
        </is>
      </c>
      <c r="B149" s="25" t="inlineStr">
        <is>
          <t>Storefront + Admin</t>
        </is>
      </c>
      <c r="C149" s="25" t="inlineStr">
        <is>
          <t>14. Admin - order processing</t>
        </is>
      </c>
      <c r="D149" s="25" t="inlineStr">
        <is>
          <t>Artwork evaluation</t>
        </is>
      </c>
      <c r="E149" s="25" t="inlineStr">
        <is>
          <t>After a Failed evaluation the customer sees the reviewer feedback in the 디자인 파일 재접수 dialog and can resubmit, and staff get Re-Evaluate.</t>
        </is>
      </c>
      <c r="F149" s="13" t="inlineStr">
        <is>
          <t>High</t>
        </is>
      </c>
      <c r="G149" s="25" t="inlineStr">
        <is>
          <t>E2E</t>
        </is>
      </c>
      <c r="H149" s="25" t="inlineStr">
        <is>
          <t>Admin panel dev-1 (https://dev-static-1-admin-panel.musticker.com) signed in with a staff account. Seeded member signed in on the storefront; test order item at 디자인 파일 제출 완료.</t>
        </is>
      </c>
      <c r="I149" s="25" t="inlineStr">
        <is>
          <t>Feedback "QA rejection &lt;timestamp&gt;"; resubmission file sample-design.png.</t>
        </is>
      </c>
      <c r="J149" s="25" t="inlineStr">
        <is>
          <t>1. Admin: Make Evaluation -&gt; Failed -&gt; feedback -&gt; Submit Evaluation.
2. Storefront /kr/account/orders: open the order.
3. Click 디자인 파일 재접수 and read the dialog.
4. Upload the file and click 재접수하기.
5. Admin: reopen the item drawer.</t>
        </is>
      </c>
      <c r="K149"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Partly covered inside MS-ADMO-001; this case isolates the rejection loop for quicker regression. Emails the member.</t>
        </is>
      </c>
      <c r="T149" s="14" t="inlineStr">
        <is>
          <t>Not Run</t>
        </is>
      </c>
      <c r="U149" s="15" t="n"/>
      <c r="V149" s="15" t="n"/>
      <c r="W149" s="15" t="n"/>
      <c r="X149" s="15" t="n"/>
      <c r="Y149" s="25" t="inlineStr">
        <is>
          <t>MS-ADM-009</t>
        </is>
      </c>
    </row>
    <row r="150" ht="150" customHeight="1">
      <c r="A150" s="12" t="inlineStr">
        <is>
          <t>MS-ADMO-005</t>
        </is>
      </c>
      <c r="B150" s="25" t="inlineStr">
        <is>
          <t>Admin</t>
        </is>
      </c>
      <c r="C150" s="25" t="inlineStr">
        <is>
          <t>14. Admin - order processing</t>
        </is>
      </c>
      <c r="D150" s="25" t="inlineStr">
        <is>
          <t>Final proof</t>
        </is>
      </c>
      <c r="E150" s="25" t="inlineStr">
        <is>
          <t>Send Final Proof accepts only a transparent-background .png and requires a proofing message.</t>
        </is>
      </c>
      <c r="F150" s="13" t="inlineStr">
        <is>
          <t>High</t>
        </is>
      </c>
      <c r="G150" s="25" t="inlineStr">
        <is>
          <t>Validation</t>
        </is>
      </c>
      <c r="H150" s="25" t="inlineStr">
        <is>
          <t>Admin panel dev-1 (https://dev-static-1-admin-panel.musticker.com) signed in with a staff account. Test order item at 검토 승인.</t>
        </is>
      </c>
      <c r="I150" s="25" t="inlineStr">
        <is>
          <t>Files: qa-proof.png (transparent .png), a .jpg, a .png with an opaque background. Message "QA proof".</t>
        </is>
      </c>
      <c r="J150" s="25" t="inlineStr">
        <is>
          <t>1. Open the item drawer (Send Final Proof form visible).
2. Try to attach the .jpg.
3. Try to attach the opaque-background .png.
4. Attach qa-proof.png, leave the message empty and click Send Final Proof.
5. Enter the message and click Send Final Proof.</t>
        </is>
      </c>
      <c r="K150" s="25" t="inlineStr">
        <is>
          <t>Steps 2-3: the file is rejected with a message; nothing is sent. Step 4: sending is refused because the message is required. Step 5: "Final proof sent successfully."; item 승인 대기 (NA).</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Exact rejection copy for wrong file types not yet recorded; capture it when automating.</t>
        </is>
      </c>
      <c r="T150" s="14" t="inlineStr">
        <is>
          <t>Not Run</t>
        </is>
      </c>
      <c r="U150" s="15" t="n"/>
      <c r="V150" s="15" t="n"/>
      <c r="W150" s="15" t="n"/>
      <c r="X150" s="15" t="n"/>
      <c r="Y150" s="25" t="inlineStr">
        <is>
          <t>MS-ADM-010</t>
        </is>
      </c>
    </row>
    <row r="151" ht="150" customHeight="1">
      <c r="A151" s="12" t="inlineStr">
        <is>
          <t>MS-ADMO-006</t>
        </is>
      </c>
      <c r="B151" s="25" t="inlineStr">
        <is>
          <t>Storefront + Admin</t>
        </is>
      </c>
      <c r="C151" s="25" t="inlineStr">
        <is>
          <t>14. Admin - order processing</t>
        </is>
      </c>
      <c r="D151" s="25" t="inlineStr">
        <is>
          <t>Final proof</t>
        </is>
      </c>
      <c r="E151" s="25" t="inlineStr">
        <is>
          <t>After a final proof is sent the customer can open it from 최종 시안 확인 in the 디자인 상세 모달, which offers 수정 요청 and 승인.</t>
        </is>
      </c>
      <c r="F151" s="13" t="inlineStr">
        <is>
          <t>High</t>
        </is>
      </c>
      <c r="G151" s="25" t="inlineStr">
        <is>
          <t>UI</t>
        </is>
      </c>
      <c r="H151" s="25" t="inlineStr">
        <is>
          <t>Admin panel dev-1 (https://dev-static-1-admin-panel.musticker.com) signed in with a staff account. Seeded member signed in on the storefront; test order item at 승인 대기.</t>
        </is>
      </c>
      <c r="I151" s="25" t="inlineStr">
        <is>
          <t>Proof file name qa-proof.png.</t>
        </is>
      </c>
      <c r="J151" s="25" t="inlineStr">
        <is>
          <t>1. Storefront: open the order; check the item status.
2. Click 최종 시안 확인.
3. Inspect the 디자인 상세 모달.
4. Close the modal without acting.</t>
        </is>
      </c>
      <c r="K151" s="25" t="inlineStr">
        <is>
          <t>Step 1: item 승인 대기 with a 최종 시안 확인 button. Step 3: the modal shows the proof image (qa-proof.png) and both 수정 요청 and 승인 buttons. Step 4: status unchanged.</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What 수정 요청 does after submission was not verified on 2026-09-25; add a follow-up case once product confirms the flow.</t>
        </is>
      </c>
      <c r="T151" s="14" t="inlineStr">
        <is>
          <t>Not Run</t>
        </is>
      </c>
      <c r="U151" s="15" t="n"/>
      <c r="V151" s="15" t="n"/>
      <c r="W151" s="15" t="n"/>
      <c r="X151" s="15" t="n"/>
      <c r="Y151" s="25" t="inlineStr">
        <is>
          <t>MS-ADM-011</t>
        </is>
      </c>
    </row>
    <row r="152" ht="150" customHeight="1">
      <c r="A152" s="12" t="inlineStr">
        <is>
          <t>MS-ADMO-007</t>
        </is>
      </c>
      <c r="B152" s="25" t="inlineStr">
        <is>
          <t>Storefront + Admin</t>
        </is>
      </c>
      <c r="C152" s="25" t="inlineStr">
        <is>
          <t>14. Admin - order processing</t>
        </is>
      </c>
      <c r="D152" s="25" t="inlineStr">
        <is>
          <t>Final proof</t>
        </is>
      </c>
      <c r="E152" s="25" t="inlineStr">
        <is>
          <t>While a proof awaits approval, the drawer "..." menu offers Update Final Proof and Send Reminder.</t>
        </is>
      </c>
      <c r="F152" s="13" t="inlineStr">
        <is>
          <t>Medium</t>
        </is>
      </c>
      <c r="G152" s="25" t="inlineStr">
        <is>
          <t>Functional</t>
        </is>
      </c>
      <c r="H152" s="25" t="inlineStr">
        <is>
          <t>Admin panel dev-1 (https://dev-static-1-admin-panel.musticker.com) signed in with a staff account. Test order item at 승인 대기.</t>
        </is>
      </c>
      <c r="I152" s="25" t="inlineStr">
        <is>
          <t>Replacement transparent .png; seeded member mailbox.</t>
        </is>
      </c>
      <c r="J152" s="25" t="inlineStr">
        <is>
          <t>1. Open the item drawer and open the "..." menu.
2. Choose Update Final Proof, attach the replacement .png with a message and send.
3. Storefront: open 최종 시안 확인.
4. Admin: "..." -&gt; Send Reminder.
5. Check the member mailbox and the item status.</t>
        </is>
      </c>
      <c r="K152" s="25" t="inlineStr">
        <is>
          <t>Step 1: menu lists Update Final Proof and Send Reminder. Step 2-3: the customer sees the replacement proof; item stays 승인 대기. Step 4-5: a reminder email reaches the member; item stays 승인 대기.</t>
        </is>
      </c>
      <c r="L152" s="13" t="inlineStr">
        <is>
          <t>Planned</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Emails the member.</t>
        </is>
      </c>
      <c r="T152" s="14" t="inlineStr">
        <is>
          <t>Not Run</t>
        </is>
      </c>
      <c r="U152" s="15" t="n"/>
      <c r="V152" s="15" t="n"/>
      <c r="W152" s="15" t="n"/>
      <c r="X152" s="15" t="n"/>
      <c r="Y152" s="25" t="inlineStr">
        <is>
          <t>MS-ADM-012</t>
        </is>
      </c>
    </row>
    <row r="153" ht="150" customHeight="1">
      <c r="A153" s="12" t="inlineStr">
        <is>
          <t>MS-ADMO-008</t>
        </is>
      </c>
      <c r="B153" s="25" t="inlineStr">
        <is>
          <t>Storefront + Admin</t>
        </is>
      </c>
      <c r="C153" s="25" t="inlineStr">
        <is>
          <t>14. Admin - order processing</t>
        </is>
      </c>
      <c r="D153" s="25" t="inlineStr">
        <is>
          <t>Final proof</t>
        </is>
      </c>
      <c r="E153" s="25" t="inlineStr">
        <is>
          <t>Staff can approve the proof on the customer's behalf after confirming "Yes, Approve Proof".</t>
        </is>
      </c>
      <c r="F153" s="13" t="inlineStr">
        <is>
          <t>High</t>
        </is>
      </c>
      <c r="G153" s="25" t="inlineStr">
        <is>
          <t>State transition</t>
        </is>
      </c>
      <c r="H153" s="25" t="inlineStr">
        <is>
          <t>Admin panel dev-1 (https://dev-static-1-admin-panel.musticker.com) signed in with a staff account. Test order item at 승인 대기.</t>
        </is>
      </c>
      <c r="I153" s="25" t="inlineStr">
        <is>
          <t>-</t>
        </is>
      </c>
      <c r="J153" s="25" t="inlineStr">
        <is>
          <t>1. Open the item drawer and click Approve Proof.
2. Read the confirmation dialog and click Yes, Approve Proof.
3. Check the item status in the admin panel and on the storefront.
4. Read the activity log entry.</t>
        </is>
      </c>
      <c r="K153" s="25" t="inlineStr">
        <is>
          <t>Step 2: a confirmation is required before anything changes. Step 3: item 최종 승인 완료 (A-FPA) in both apps; the storefront no longer asks the customer to approve. Step 4: the entry is attributed to the staff user (is_admin=true).</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53" s="14" t="inlineStr">
        <is>
          <t>Not Run</t>
        </is>
      </c>
      <c r="U153" s="15" t="n"/>
      <c r="V153" s="15" t="n"/>
      <c r="W153" s="15" t="n"/>
      <c r="X153" s="15" t="n"/>
      <c r="Y153" s="25" t="inlineStr">
        <is>
          <t>MS-ADM-013</t>
        </is>
      </c>
    </row>
    <row r="154" ht="150" customHeight="1">
      <c r="A154" s="12" t="inlineStr">
        <is>
          <t>MS-ADMO-009</t>
        </is>
      </c>
      <c r="B154" s="25" t="inlineStr">
        <is>
          <t>Storefront + Admin</t>
        </is>
      </c>
      <c r="C154" s="25" t="inlineStr">
        <is>
          <t>14. Admin - order processing</t>
        </is>
      </c>
      <c r="D154" s="25" t="inlineStr">
        <is>
          <t>Final proof</t>
        </is>
      </c>
      <c r="E154" s="25" t="inlineStr">
        <is>
          <t>After a proof is approved, Undo Approval returns the item to awaiting approval.</t>
        </is>
      </c>
      <c r="F154" s="13" t="inlineStr">
        <is>
          <t>Medium</t>
        </is>
      </c>
      <c r="G154" s="25" t="inlineStr">
        <is>
          <t>State transition</t>
        </is>
      </c>
      <c r="H154" s="25" t="inlineStr">
        <is>
          <t>Admin panel dev-1 (https://dev-static-1-admin-panel.musticker.com) signed in with a staff account. Test order item at 최종 승인 완료, order still 제작 전.</t>
        </is>
      </c>
      <c r="I154" s="25" t="inlineStr">
        <is>
          <t>-</t>
        </is>
      </c>
      <c r="J154" s="25" t="inlineStr">
        <is>
          <t>1. Open the item drawer and click Undo Approval (confirm if asked).
2. Check the item status in the admin panel.
3. Storefront: open the order.</t>
        </is>
      </c>
      <c r="K154" s="25" t="inlineStr">
        <is>
          <t>Item returns to 승인 대기 in both apps and the customer again sees 최종 시안 확인; the order stays 제작 전.</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Behaviour of Undo Approval after Mark as Printing not verified; do not run it on an order already in production.</t>
        </is>
      </c>
      <c r="T154" s="14" t="inlineStr">
        <is>
          <t>Not Run</t>
        </is>
      </c>
      <c r="U154" s="15" t="n"/>
      <c r="V154" s="15" t="n"/>
      <c r="W154" s="15" t="n"/>
      <c r="X154" s="15" t="n"/>
      <c r="Y154" s="25" t="inlineStr">
        <is>
          <t>MS-ADM-014</t>
        </is>
      </c>
    </row>
    <row r="155" ht="150" customHeight="1">
      <c r="A155" s="12" t="inlineStr">
        <is>
          <t>MS-ADMO-010</t>
        </is>
      </c>
      <c r="B155" s="25" t="inlineStr">
        <is>
          <t>Storefront + Admin</t>
        </is>
      </c>
      <c r="C155" s="25" t="inlineStr">
        <is>
          <t>14. Admin - order processing</t>
        </is>
      </c>
      <c r="D155" s="25" t="inlineStr">
        <is>
          <t>Final proof</t>
        </is>
      </c>
      <c r="E155" s="25" t="inlineStr">
        <is>
          <t>Customer approval through 승인, the acknowledgement tick and 최종 시안 승인 moves the item to 최종 승인 완료 while the order stays 제작 전.</t>
        </is>
      </c>
      <c r="F155" s="13" t="inlineStr">
        <is>
          <t>High</t>
        </is>
      </c>
      <c r="G155" s="25" t="inlineStr">
        <is>
          <t>State transition</t>
        </is>
      </c>
      <c r="H155" s="25" t="inlineStr">
        <is>
          <t>Admin panel dev-1 (https://dev-static-1-admin-panel.musticker.com) signed in with a staff account. Seeded member signed in on the storefront; test order item at 승인 대기.</t>
        </is>
      </c>
      <c r="I155" s="25" t="inlineStr">
        <is>
          <t>-</t>
        </is>
      </c>
      <c r="J155"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5"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MUS-QA-004 fixed by 2026-10-14: the popup used to promise '제작 진행'; it now says 제작 대기, matching the behaviour. Covered end to end by MS-ADMO-001 step 8. After approval the customer sees a cancellation notice citing a payment adjustment (MUS-QA-011).</t>
        </is>
      </c>
      <c r="T155" s="14" t="inlineStr">
        <is>
          <t>Not Run</t>
        </is>
      </c>
      <c r="U155" s="15" t="n"/>
      <c r="V155" s="15" t="n"/>
      <c r="W155" s="15" t="n"/>
      <c r="X155" s="15" t="n"/>
      <c r="Y155" s="25" t="inlineStr">
        <is>
          <t>MS-ADM-015</t>
        </is>
      </c>
    </row>
    <row r="156" ht="150" customHeight="1">
      <c r="A156" s="12" t="inlineStr">
        <is>
          <t>MS-ADMO-011</t>
        </is>
      </c>
      <c r="B156" s="25" t="inlineStr">
        <is>
          <t>Storefront + Admin</t>
        </is>
      </c>
      <c r="C156" s="25" t="inlineStr">
        <is>
          <t>14. Admin - order processing</t>
        </is>
      </c>
      <c r="D156" s="25" t="inlineStr">
        <is>
          <t>Production and shipping</t>
        </is>
      </c>
      <c r="E156" s="25" t="inlineStr">
        <is>
          <t>Withdrawn: Move to Production moves an approved order to 제작 진행 중 and its item to 주문 준비 중.</t>
        </is>
      </c>
      <c r="F156" s="13" t="inlineStr">
        <is>
          <t>Critical</t>
        </is>
      </c>
      <c r="G156" s="25" t="inlineStr">
        <is>
          <t>State transition</t>
        </is>
      </c>
      <c r="H156" s="25" t="inlineStr">
        <is>
          <t>Admin panel static-1 (https://dev-static-1-admin-panel.musticker.com) signed in with a staff account. Test order in 제작 전, item at 승인 완료 - 제작 승인 대기, payment verified, no pending refund.</t>
        </is>
      </c>
      <c r="I156" s="25" t="inlineStr">
        <is>
          <t>-</t>
        </is>
      </c>
      <c r="J156" s="25" t="inlineStr">
        <is>
          <t>1. Open the order; the header primary action reads Move to Production.
2. Click it and confirm Yes, Move to Production.
3. Check header status, item status, the orders tab it is listed under and the storefront.
4. Read the activity log.</t>
        </is>
      </c>
      <c r="K156" s="25" t="inlineStr">
        <is>
          <t>Order 제작 진행 중 (FP), listed under the 제작 진행 중 tab; item 주문 준비 중 (PO); header action becomes Mark as Printing; storefront shows the new status; the log entry is attributed to staff.</t>
        </is>
      </c>
      <c r="L156" s="13" t="inlineStr">
        <is>
          <t>Withdrawn</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withdrawn 2026-10-14: Move to Production no longer exists on static-1. Mark as Printing (MS-ADMO-012) is now the first staff action after approval and moves the order to 제작 진행 중 itself; the 주문 준비 중 (PO) stage is no longer reached. Keep the ID; do not reuse it.</t>
        </is>
      </c>
      <c r="T156" s="14" t="inlineStr">
        <is>
          <t>N/A</t>
        </is>
      </c>
      <c r="U156" s="15" t="n"/>
      <c r="V156" s="15" t="n"/>
      <c r="W156" s="15" t="n"/>
      <c r="X156" s="15" t="n"/>
      <c r="Y156" s="25" t="inlineStr">
        <is>
          <t>MS-ADM-016</t>
        </is>
      </c>
    </row>
    <row r="157" ht="150" customHeight="1">
      <c r="A157" s="12" t="inlineStr">
        <is>
          <t>MS-ADMO-012</t>
        </is>
      </c>
      <c r="B157" s="25" t="inlineStr">
        <is>
          <t>Admin</t>
        </is>
      </c>
      <c r="C157" s="25" t="inlineStr">
        <is>
          <t>14. Admin - order processing</t>
        </is>
      </c>
      <c r="D157" s="25" t="inlineStr">
        <is>
          <t>Production and shipping</t>
        </is>
      </c>
      <c r="E157" s="25" t="inlineStr">
        <is>
          <t>Mark as Printing on an approved order moves it to 제작 진행 중 and the item to 인쇄 진행 중 after a warning that no further changes can be made, and the order is locked for editing.</t>
        </is>
      </c>
      <c r="F157" s="13" t="inlineStr">
        <is>
          <t>High</t>
        </is>
      </c>
      <c r="G157" s="25" t="inlineStr">
        <is>
          <t>State transition</t>
        </is>
      </c>
      <c r="H157" s="25" t="inlineStr">
        <is>
          <t>Admin panel dev-1 (https://dev-static-1-admin-panel.musticker.com) signed in with a staff account. Test order in 제작 전, item 최종 승인 완료.</t>
        </is>
      </c>
      <c r="I157" s="25" t="inlineStr">
        <is>
          <t>-</t>
        </is>
      </c>
      <c r="J157" s="25" t="inlineStr">
        <is>
          <t>1. Click Mark as Printing and read the dialog.
2. Confirm Yes, Mark as Printing.
3. Check the item status.
4. Look for Add Item and the item edit icon.</t>
        </is>
      </c>
      <c r="K157" s="25" t="inlineStr">
        <is>
          <t>Step 1: the dialog warns that no further changes can be made. Step 3: order 제작 진행 중 (FP), item 인쇄 진행 중 (P); header action becomes Add Tracking Number. Step 4: Add Item and item edit are no longer offered.</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7" s="14" t="inlineStr">
        <is>
          <t>Not Run</t>
        </is>
      </c>
      <c r="U157" s="15" t="n"/>
      <c r="V157" s="15" t="n"/>
      <c r="W157" s="15" t="n"/>
      <c r="X157" s="15" t="n"/>
      <c r="Y157" s="25" t="inlineStr">
        <is>
          <t>MS-ADM-017</t>
        </is>
      </c>
    </row>
    <row r="158" ht="150" customHeight="1">
      <c r="A158" s="12" t="inlineStr">
        <is>
          <t>MS-ADMO-013</t>
        </is>
      </c>
      <c r="B158" s="25" t="inlineStr">
        <is>
          <t>Admin</t>
        </is>
      </c>
      <c r="C158" s="25" t="inlineStr">
        <is>
          <t>14. Admin - order processing</t>
        </is>
      </c>
      <c r="D158" s="25" t="inlineStr">
        <is>
          <t>Production and shipping</t>
        </is>
      </c>
      <c r="E158" s="25" t="inlineStr">
        <is>
          <t>Adding a tracking number reformats it into 4-4-4-4 groups and moves the order to 배송 중 with the item 출고 준비 완료.</t>
        </is>
      </c>
      <c r="F158" s="13" t="inlineStr">
        <is>
          <t>High</t>
        </is>
      </c>
      <c r="G158" s="25" t="inlineStr">
        <is>
          <t>Validation</t>
        </is>
      </c>
      <c r="H158" s="25" t="inlineStr">
        <is>
          <t>Admin panel dev-1 (https://dev-static-1-admin-panel.musticker.com) signed in with a staff account. Test order with item at 인쇄 진행 중.</t>
        </is>
      </c>
      <c r="I158" s="25" t="inlineStr">
        <is>
          <t>Tracking "QA-TEST-2609250008" (dashes typed) and a clean 16-character value "QATE" + 12 digits.</t>
        </is>
      </c>
      <c r="J158" s="25" t="inlineStr">
        <is>
          <t>1. Click Add Tracking Number; note the courier preselected from the shipping method.
2. Type QA-TEST-2609250008 in the number field and observe the display.
3. Click Add Tracking, then Close.
4. Check the order and item status and the tracking card.</t>
        </is>
      </c>
      <c r="K158"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Known defect 2026-09-25: the activity log records staff actions (Mark as Printing, tracking add/send/update; re-confirmed 2026-10-14) as the customer (user.is_admin=false). Behaviour for numbers longer or shorter than 16 characters not verified.</t>
        </is>
      </c>
      <c r="T158" s="14" t="inlineStr">
        <is>
          <t>Not Run</t>
        </is>
      </c>
      <c r="U158" s="15" t="n"/>
      <c r="V158" s="15" t="n"/>
      <c r="W158" s="15" t="n"/>
      <c r="X158" s="15" t="n"/>
      <c r="Y158" s="25" t="inlineStr">
        <is>
          <t>MS-ADM-018</t>
        </is>
      </c>
    </row>
    <row r="159" ht="150" customHeight="1">
      <c r="A159" s="12" t="inlineStr">
        <is>
          <t>MS-ADMO-014</t>
        </is>
      </c>
      <c r="B159" s="25" t="inlineStr">
        <is>
          <t>Storefront + Admin</t>
        </is>
      </c>
      <c r="C159" s="25" t="inlineStr">
        <is>
          <t>14. Admin - order processing</t>
        </is>
      </c>
      <c r="D159" s="25" t="inlineStr">
        <is>
          <t>Production and shipping</t>
        </is>
      </c>
      <c r="E159" s="25" t="inlineStr">
        <is>
          <t>Sending the tracking details emails the customer and moves the item to 배송 중.</t>
        </is>
      </c>
      <c r="F159" s="13" t="inlineStr">
        <is>
          <t>High</t>
        </is>
      </c>
      <c r="G159" s="25" t="inlineStr">
        <is>
          <t>State transition</t>
        </is>
      </c>
      <c r="H159" s="25" t="inlineStr">
        <is>
          <t>Admin panel dev-1 (https://dev-static-1-admin-panel.musticker.com) signed in with a staff account. Test order in 배송 중 with a tracking number added, item 출고 준비 완료; access to the member mailbox.</t>
        </is>
      </c>
      <c r="I159" s="25" t="inlineStr">
        <is>
          <t>-</t>
        </is>
      </c>
      <c r="J159" s="25" t="inlineStr">
        <is>
          <t>1. On the tracking card click Send.
2. Confirm Yes, Send Tracking.
3. Check the item status and the member mailbox.</t>
        </is>
      </c>
      <c r="K159" s="25" t="inlineStr">
        <is>
          <t>"Tracking details sent successfully."; item 배송 중 (OD); the customer receives an email with the tracking number.</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Known defect 2026-09-25: the activity log records staff actions (Mark as Printing, tracking add/send/update; re-confirmed 2026-10-14) as the customer (user.is_admin=false). Emails the member.</t>
        </is>
      </c>
      <c r="T159" s="14" t="inlineStr">
        <is>
          <t>Not Run</t>
        </is>
      </c>
      <c r="U159" s="15" t="n"/>
      <c r="V159" s="15" t="n"/>
      <c r="W159" s="15" t="n"/>
      <c r="X159" s="15" t="n"/>
      <c r="Y159" s="25" t="inlineStr">
        <is>
          <t>MS-ADM-019</t>
        </is>
      </c>
    </row>
    <row r="160" ht="150" customHeight="1">
      <c r="A160" s="12" t="inlineStr">
        <is>
          <t>MS-ADMO-015</t>
        </is>
      </c>
      <c r="B160" s="25" t="inlineStr">
        <is>
          <t>Storefront + Admin</t>
        </is>
      </c>
      <c r="C160" s="25" t="inlineStr">
        <is>
          <t>14. Admin - order processing</t>
        </is>
      </c>
      <c r="D160" s="25" t="inlineStr">
        <is>
          <t>Production and shipping</t>
        </is>
      </c>
      <c r="E160" s="25" t="inlineStr">
        <is>
          <t>Updating the tracking status with the delivery date marks the item 배송 완료 and the order 주문 완료, and the customer sees the tracking link.</t>
        </is>
      </c>
      <c r="F160" s="13" t="inlineStr">
        <is>
          <t>Critical</t>
        </is>
      </c>
      <c r="G160" s="25" t="inlineStr">
        <is>
          <t>E2E</t>
        </is>
      </c>
      <c r="H160" s="25" t="inlineStr">
        <is>
          <t>Admin panel dev-1 (https://dev-static-1-admin-panel.musticker.com) signed in with a staff account. Test order with tracking sent, item 배송 중; seeded member signed in on the storefront.</t>
        </is>
      </c>
      <c r="I160" s="25" t="inlineStr">
        <is>
          <t>Delivery date = today (date picker default).</t>
        </is>
      </c>
      <c r="J160" s="25" t="inlineStr">
        <is>
          <t>1. On the tracking card click Update.
2. Keep today in the date picker and click Update Status.
3. Check the order tab and statuses.
4. Storefront: open the order.</t>
        </is>
      </c>
      <c r="K160" s="25" t="inlineStr">
        <is>
          <t>Order 주문 완료 (CP), listed under 주문 완료; item 배송 완료 (DE); tracking status completed. Storefront: order 주문 완료, item 배송 완료, 배송 조회 section with link "운송장 번호: &lt;number&gt;".</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60" s="14" t="inlineStr">
        <is>
          <t>Not Run</t>
        </is>
      </c>
      <c r="U160" s="15" t="n"/>
      <c r="V160" s="15" t="n"/>
      <c r="W160" s="15" t="n"/>
      <c r="X160" s="15" t="n"/>
      <c r="Y160" s="25" t="inlineStr">
        <is>
          <t>MS-ADM-020</t>
        </is>
      </c>
    </row>
    <row r="161" ht="150" customHeight="1">
      <c r="A161" s="12" t="inlineStr">
        <is>
          <t>MS-ADMO-016</t>
        </is>
      </c>
      <c r="B161" s="25" t="inlineStr">
        <is>
          <t>Storefront + Admin</t>
        </is>
      </c>
      <c r="C161" s="25" t="inlineStr">
        <is>
          <t>14. Admin - order processing</t>
        </is>
      </c>
      <c r="D161" s="25" t="inlineStr">
        <is>
          <t>Production and shipping</t>
        </is>
      </c>
      <c r="E161" s="25" t="inlineStr">
        <is>
          <t>The Track link for a CJ shipment opens the courier tracking page for that tracking number from both the admin panel and the customer order page.</t>
        </is>
      </c>
      <c r="F161" s="13" t="inlineStr">
        <is>
          <t>Medium</t>
        </is>
      </c>
      <c r="G161" s="25" t="inlineStr">
        <is>
          <t>Integration</t>
        </is>
      </c>
      <c r="H161" s="25" t="inlineStr">
        <is>
          <t>Admin panel dev-1 (https://dev-static-1-admin-panel.musticker.com) signed in with a staff account. Test order shipped with CJ courier and a tracking number.</t>
        </is>
      </c>
      <c r="I161" s="25" t="inlineStr">
        <is>
          <t>Tracking number of the test order.</t>
        </is>
      </c>
      <c r="J161" s="25" t="inlineStr">
        <is>
          <t>1. Admin: on the tracking card click Track and inspect the URL.
2. Storefront: on the order click the "운송장 번호: &lt;no&gt;" link and inspect the URL.</t>
        </is>
      </c>
      <c r="K161" s="25" t="inlineStr">
        <is>
          <t>Both links open the CJ tracking page with the tracking number passed as a named query parameter, showing that shipment.</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Known defect 2026-09-25: the CJ tracking link is malformed ("tracking?=&lt;no&gt;" with no parameter name) on both the admin panel and the customer order page.</t>
        </is>
      </c>
      <c r="T161" s="14" t="inlineStr">
        <is>
          <t>Not Run</t>
        </is>
      </c>
      <c r="U161" s="15" t="n"/>
      <c r="V161" s="15" t="n"/>
      <c r="W161" s="15" t="n"/>
      <c r="X161" s="15" t="n"/>
      <c r="Y161" s="25" t="inlineStr">
        <is>
          <t>MS-ADM-021</t>
        </is>
      </c>
    </row>
    <row r="162" ht="150" customHeight="1">
      <c r="A162" s="12" t="inlineStr">
        <is>
          <t>MS-ADMO-017</t>
        </is>
      </c>
      <c r="B162" s="25" t="inlineStr">
        <is>
          <t>Admin</t>
        </is>
      </c>
      <c r="C162" s="25" t="inlineStr">
        <is>
          <t>14. Admin - order processing</t>
        </is>
      </c>
      <c r="D162" s="25" t="inlineStr">
        <is>
          <t>Order adjustments</t>
        </is>
      </c>
      <c r="E162" s="25" t="inlineStr">
        <is>
          <t>Staff can add a production note to an order and it is saved with the order.</t>
        </is>
      </c>
      <c r="F162" s="13" t="inlineStr">
        <is>
          <t>Low</t>
        </is>
      </c>
      <c r="G162" s="25" t="inlineStr">
        <is>
          <t>Functional</t>
        </is>
      </c>
      <c r="H162" s="25" t="inlineStr">
        <is>
          <t>Admin panel dev-1 (https://dev-static-1-admin-panel.musticker.com) signed in with a staff account. Test order in 제작 전 or 제작 진행 중.</t>
        </is>
      </c>
      <c r="I162" s="25" t="inlineStr">
        <is>
          <t>Note "QA production note &lt;timestamp&gt;".</t>
        </is>
      </c>
      <c r="J162" s="25" t="inlineStr">
        <is>
          <t>1. Open the order and add a production note.
2. Save.
3. Reload the page.</t>
        </is>
      </c>
      <c r="K162" s="25" t="inlineStr">
        <is>
          <t>The note is shown after saving and still present after reload.</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Whether the note appears in Download Job Details not verified.</t>
        </is>
      </c>
      <c r="T162" s="14" t="inlineStr">
        <is>
          <t>Not Run</t>
        </is>
      </c>
      <c r="U162" s="15" t="n"/>
      <c r="V162" s="15" t="n"/>
      <c r="W162" s="15" t="n"/>
      <c r="X162" s="15" t="n"/>
      <c r="Y162" s="25" t="inlineStr">
        <is>
          <t>MS-ADM-025</t>
        </is>
      </c>
    </row>
    <row r="163" ht="150" customHeight="1">
      <c r="A163" s="12" t="inlineStr">
        <is>
          <t>MS-ADMO-018</t>
        </is>
      </c>
      <c r="B163" s="25" t="inlineStr">
        <is>
          <t>Storefront + Admin</t>
        </is>
      </c>
      <c r="C163" s="25" t="inlineStr">
        <is>
          <t>14. Admin - order processing</t>
        </is>
      </c>
      <c r="D163" s="25" t="inlineStr">
        <is>
          <t>Order adjustments</t>
        </is>
      </c>
      <c r="E163" s="25" t="inlineStr">
        <is>
          <t>Waive Shipping Fee removes the shipping fee from an order.</t>
        </is>
      </c>
      <c r="F163" s="13" t="inlineStr">
        <is>
          <t>Medium</t>
        </is>
      </c>
      <c r="G163" s="25" t="inlineStr">
        <is>
          <t>Functional</t>
        </is>
      </c>
      <c r="H163" s="25" t="inlineStr">
        <is>
          <t>Admin panel dev-1 (https://dev-static-1-admin-panel.musticker.com) signed in with a staff account. Test order with a shipping fee, not yet in production.</t>
        </is>
      </c>
      <c r="I163" s="25" t="inlineStr">
        <is>
          <t>Order shipping fee amount before the action.</t>
        </is>
      </c>
      <c r="J163" s="25" t="inlineStr">
        <is>
          <t>1. Note the shipping fee and order total.
2. Click Waive Shipping Fee and confirm.
3. Check the payment summary on the admin panel and the storefront order.</t>
        </is>
      </c>
      <c r="K163" s="25" t="inlineStr">
        <is>
          <t>Shipping fee shows 0 (waived) and the total drops by the former fee in both apps.</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Effect on an already-paid order (refund) not verified; combine with the refund case if it creates a refundable amount.</t>
        </is>
      </c>
      <c r="T163" s="14" t="inlineStr">
        <is>
          <t>Not Run</t>
        </is>
      </c>
      <c r="U163" s="15" t="n"/>
      <c r="V163" s="15" t="n"/>
      <c r="W163" s="15" t="n"/>
      <c r="X163" s="15" t="n"/>
      <c r="Y163" s="25" t="inlineStr">
        <is>
          <t>MS-ADM-027</t>
        </is>
      </c>
    </row>
    <row r="164" ht="150" customHeight="1">
      <c r="A164" s="12" t="inlineStr">
        <is>
          <t>MS-ADMA-001</t>
        </is>
      </c>
      <c r="B164" s="25" t="inlineStr">
        <is>
          <t>Admin</t>
        </is>
      </c>
      <c r="C164" s="25" t="inlineStr">
        <is>
          <t>15. Admin - access &amp; order management</t>
        </is>
      </c>
      <c r="D164" s="25" t="inlineStr">
        <is>
          <t>Admin sign-in</t>
        </is>
      </c>
      <c r="E164" s="25" t="inlineStr">
        <is>
          <t>Admin login requires a verification code that is emailed to sales@musticker.com before the panel opens.</t>
        </is>
      </c>
      <c r="F164" s="13" t="inlineStr">
        <is>
          <t>High</t>
        </is>
      </c>
      <c r="G164" s="25" t="inlineStr">
        <is>
          <t>Security</t>
        </is>
      </c>
      <c r="H164" s="25" t="inlineStr">
        <is>
          <t>Admin panel dev-1, signed out. Access to the sales@musticker.com inbox (shared company inbox).</t>
        </is>
      </c>
      <c r="I164" s="25" t="inlineStr">
        <is>
          <t>A valid staff email and password (entered by the QA engineer, never stored in the suite).</t>
        </is>
      </c>
      <c r="J164"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4" s="25" t="inlineStr">
        <is>
          <t>After the password step the panel asks for a verification code and does not open the orders area; a code arrives at sales@musticker.com; after entering it the panel opens signed in.</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dev-1. Not used by the suite yet.</t>
        </is>
      </c>
      <c r="T164" s="14" t="inlineStr">
        <is>
          <t>Not Run</t>
        </is>
      </c>
      <c r="U164" s="15" t="n"/>
      <c r="V164" s="15" t="n"/>
      <c r="W164" s="15" t="n"/>
      <c r="X164" s="15" t="n"/>
      <c r="Y164" s="25" t="inlineStr">
        <is>
          <t>MS-ADM-002</t>
        </is>
      </c>
    </row>
    <row r="165" ht="150" customHeight="1">
      <c r="A165" s="12" t="inlineStr">
        <is>
          <t>MS-ADMA-002</t>
        </is>
      </c>
      <c r="B165" s="25" t="inlineStr">
        <is>
          <t>Admin</t>
        </is>
      </c>
      <c r="C165" s="25" t="inlineStr">
        <is>
          <t>15. Admin - access &amp; order management</t>
        </is>
      </c>
      <c r="D165" s="25" t="inlineStr">
        <is>
          <t>Admin sign-in</t>
        </is>
      </c>
      <c r="E165" s="25" t="inlineStr">
        <is>
          <t>Signing in while another session is active shows "Active Session Detected", where Cancel keeps the other session and Logout &amp; Continue ends it.</t>
        </is>
      </c>
      <c r="F165" s="13" t="inlineStr">
        <is>
          <t>High</t>
        </is>
      </c>
      <c r="G165" s="25" t="inlineStr">
        <is>
          <t>Security</t>
        </is>
      </c>
      <c r="H165" s="25" t="inlineStr">
        <is>
          <t>Staff account already signed in on browser A (e.g. the saved automation session). Browser B signed out. Access to sales@musticker.com.</t>
        </is>
      </c>
      <c r="I165" s="25" t="inlineStr">
        <is>
          <t>Same staff account on two browsers.</t>
        </is>
      </c>
      <c r="J165"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5" s="25" t="inlineStr">
        <is>
          <t>Step 2: dialog "Active Session Detected" with Cancel and Logout &amp; Continue. Step 3-4: browser B is not signed in and browser A stays signed in. Step 5: browser B opens the panel. Step 6: browser A is signed out / /auth/admin/me no longer answers success=true.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One active session per account. Running this ends the saved automation session (.auth/admin-static-1.json) -- rerun `npm run admin:login` afterwards. admin-test fixture skips with SKIP_EXPIRED_ADMIN_SESSION when that happens.</t>
        </is>
      </c>
      <c r="T165" s="14" t="inlineStr">
        <is>
          <t>Not Run</t>
        </is>
      </c>
      <c r="U165" s="15" t="n"/>
      <c r="V165" s="15" t="n"/>
      <c r="W165" s="15" t="n"/>
      <c r="X165" s="15" t="n"/>
      <c r="Y165" s="25" t="inlineStr">
        <is>
          <t>MS-ADM-003</t>
        </is>
      </c>
    </row>
    <row r="166" ht="150" customHeight="1">
      <c r="A166" s="12" t="inlineStr">
        <is>
          <t>MS-ADMA-003</t>
        </is>
      </c>
      <c r="B166" s="25" t="inlineStr">
        <is>
          <t>Admin</t>
        </is>
      </c>
      <c r="C166" s="25" t="inlineStr">
        <is>
          <t>15. Admin - access &amp; order management</t>
        </is>
      </c>
      <c r="D166" s="25" t="inlineStr">
        <is>
          <t>Orders list</t>
        </is>
      </c>
      <c r="E166" s="25" t="inlineStr">
        <is>
          <t>The orders list shows one tab per status and each tab lists only orders in that status.</t>
        </is>
      </c>
      <c r="F166" s="13" t="inlineStr">
        <is>
          <t>Medium</t>
        </is>
      </c>
      <c r="G166" s="25" t="inlineStr">
        <is>
          <t>Functional</t>
        </is>
      </c>
      <c r="H166" s="25" t="inlineStr">
        <is>
          <t>Admin panel dev-1 (https://dev-static-1-admin-panel.musticker.com) signed in with a staff account. Orders exist in several statuses.</t>
        </is>
      </c>
      <c r="I166" s="25" t="inlineStr">
        <is>
          <t>Tabs: 제작 전 (BP), 제작 진행 중 (FP), 배송 중 (SP), 주문 완료 (CP), 주문 취소 (CC), 확인 필요 (PA).</t>
        </is>
      </c>
      <c r="J166" s="25" t="inlineStr">
        <is>
          <t>1. Open /orders (URL gets ?tab=...).
2. Note the default tab.
3. Click each tab in turn.
4. Open one order from each non-empty tab and read its header status.</t>
        </is>
      </c>
      <c r="K166" s="25" t="inlineStr">
        <is>
          <t>All six tabs are present with these labels; the default is 제작 전; each tab lists only orders whose header status matches the tab (확인 필요 is a list tab, not an order status).</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Read-only on data but still run on dev-1 only: the panel shows real customer names and emails.</t>
        </is>
      </c>
      <c r="T166" s="14" t="inlineStr">
        <is>
          <t>Not Run</t>
        </is>
      </c>
      <c r="U166" s="15" t="n"/>
      <c r="V166" s="15" t="n"/>
      <c r="W166" s="15" t="n"/>
      <c r="X166" s="15" t="n"/>
      <c r="Y166" s="25" t="inlineStr">
        <is>
          <t>MS-ADM-004</t>
        </is>
      </c>
    </row>
    <row r="167" ht="150" customHeight="1">
      <c r="A167" s="12" t="inlineStr">
        <is>
          <t>MS-ADMA-004</t>
        </is>
      </c>
      <c r="B167" s="25" t="inlineStr">
        <is>
          <t>Storefront + Admin</t>
        </is>
      </c>
      <c r="C167" s="25" t="inlineStr">
        <is>
          <t>15. Admin - access &amp; order management</t>
        </is>
      </c>
      <c r="D167" s="25" t="inlineStr">
        <is>
          <t>Orders list</t>
        </is>
      </c>
      <c r="E167" s="25" t="inlineStr">
        <is>
          <t>Order search finds an order by customer name, email or invoice number within the selected tab, and Export List exports the list.</t>
        </is>
      </c>
      <c r="F167" s="13" t="inlineStr">
        <is>
          <t>Medium</t>
        </is>
      </c>
      <c r="G167" s="25" t="inlineStr">
        <is>
          <t>Functional</t>
        </is>
      </c>
      <c r="H167" s="25" t="inlineStr">
        <is>
          <t>Admin panel dev-1 (https://dev-static-1-admin-panel.musticker.com) signed in with a staff account. A known order in 제작 전 with known customer name, email and invoice (order) number.</t>
        </is>
      </c>
      <c r="I167" s="25" t="inlineStr">
        <is>
          <t>Known order number (e.g. AO-26092xxxxx-dev), its customer name and email; a non-matching term.</t>
        </is>
      </c>
      <c r="J167"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7" s="25" t="inlineStr">
        <is>
          <t>Steps 2-3: the matching order is listed. Step 4: the order is not listed in a tab it is not in (search is tab-scoped). Step 5: no rows. Step 6: a list export is produced for download.</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Search applies on Enter only and only within the selected tab (the automation's AdminApi.findOrder walks every tab for this reason). Export contents not yet verified field by field.</t>
        </is>
      </c>
      <c r="T167" s="14" t="inlineStr">
        <is>
          <t>Not Run</t>
        </is>
      </c>
      <c r="U167" s="15" t="n"/>
      <c r="V167" s="15" t="n"/>
      <c r="W167" s="15" t="n"/>
      <c r="X167" s="15" t="n"/>
      <c r="Y167" s="25" t="inlineStr">
        <is>
          <t>MS-ADM-005</t>
        </is>
      </c>
    </row>
    <row r="168" ht="150" customHeight="1">
      <c r="A168" s="12" t="inlineStr">
        <is>
          <t>MS-ADMA-005</t>
        </is>
      </c>
      <c r="B168" s="25" t="inlineStr">
        <is>
          <t>Admin</t>
        </is>
      </c>
      <c r="C168" s="25" t="inlineStr">
        <is>
          <t>15. Admin - access &amp; order management</t>
        </is>
      </c>
      <c r="D168" s="25" t="inlineStr">
        <is>
          <t>Orders list</t>
        </is>
      </c>
      <c r="E168" s="25" t="inlineStr">
        <is>
          <t>The status dropdown next to the order number offers only 주문 보류, 응답 대기 and 주문 취소 and never moves an order forward.</t>
        </is>
      </c>
      <c r="F168" s="13" t="inlineStr">
        <is>
          <t>High</t>
        </is>
      </c>
      <c r="G168" s="25" t="inlineStr">
        <is>
          <t>Negative</t>
        </is>
      </c>
      <c r="H168" s="25" t="inlineStr">
        <is>
          <t>Admin panel dev-1 (https://dev-static-1-admin-panel.musticker.com) signed in with a staff account. An order in 제작 전 and one further along (e.g. 제작 진행 중).</t>
        </is>
      </c>
      <c r="I168" s="25" t="inlineStr">
        <is>
          <t>-</t>
        </is>
      </c>
      <c r="J168" s="25" t="inlineStr">
        <is>
          <t>1. Open an order in 제작 전.
2. Open the status dropdown next to the order number and list the options.
3. Repeat on an order in 제작 진행 중.
4. Close without choosing.</t>
        </is>
      </c>
      <c r="K168" s="25" t="inlineStr">
        <is>
          <t>Only 주문 보류, 응답 대기 and 주문 취소 are offered; no forward status (제작 진행 중, 배송 중, 주문 완료) is available. Forward moves exist only as the header primary action (Mark as Printing / Add Tracking Number).</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Do not select 주문 취소 on a shared order unless it is a disposable test order.</t>
        </is>
      </c>
      <c r="T168" s="14" t="inlineStr">
        <is>
          <t>Not Run</t>
        </is>
      </c>
      <c r="U168" s="15" t="n"/>
      <c r="V168" s="15" t="n"/>
      <c r="W168" s="15" t="n"/>
      <c r="X168" s="15" t="n"/>
      <c r="Y168" s="25" t="inlineStr">
        <is>
          <t>MS-ADM-006</t>
        </is>
      </c>
    </row>
    <row r="169" ht="150" customHeight="1">
      <c r="A169" s="12" t="inlineStr">
        <is>
          <t>MS-ADMA-006</t>
        </is>
      </c>
      <c r="B169" s="25" t="inlineStr">
        <is>
          <t>Storefront + Admin</t>
        </is>
      </c>
      <c r="C169" s="25" t="inlineStr">
        <is>
          <t>15. Admin - access &amp; order management</t>
        </is>
      </c>
      <c r="D169" s="25" t="inlineStr">
        <is>
          <t>Order detail</t>
        </is>
      </c>
      <c r="E169" s="25" t="inlineStr">
        <is>
          <t>Every entry in an item's activity log is attributed to whoever performed it: customer actions to the customer, staff actions to the staff user.</t>
        </is>
      </c>
      <c r="F169" s="13" t="inlineStr">
        <is>
          <t>High</t>
        </is>
      </c>
      <c r="G169" s="25" t="inlineStr">
        <is>
          <t>Security</t>
        </is>
      </c>
      <c r="H169" s="25" t="inlineStr">
        <is>
          <t>Admin panel dev-1 (https://dev-static-1-admin-panel.musticker.com) signed in with a staff account. A test order taken through the lifecycle (e.g. after MS-ADMO-001).</t>
        </is>
      </c>
      <c r="I169" s="25" t="inlineStr">
        <is>
          <t>GET /sys/kr/orders/artwork/activity/&lt;cart_item_id&gt; from the signed-in admin context.</t>
        </is>
      </c>
      <c r="J169" s="25" t="inlineStr">
        <is>
          <t>1. Read the item activity log (admin UI or API).
2. For each entry note the action, user.name and user.is_admin.
3. Compare with who actually performed it.</t>
        </is>
      </c>
      <c r="K169" s="25" t="inlineStr">
        <is>
          <t>Customer upload, resubmission and approval: is_admin=false, customer name. Staff evaluation, final proof, Mark as Printing, tracking add/send/update: is_admin=true, staff name.</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MS-ADMO-001 deliberately asserts attribution only on customer steps until fixed.</t>
        </is>
      </c>
      <c r="T169" s="14" t="inlineStr">
        <is>
          <t>Not Run</t>
        </is>
      </c>
      <c r="U169" s="15" t="n"/>
      <c r="V169" s="15" t="n"/>
      <c r="W169" s="15" t="n"/>
      <c r="X169" s="15" t="n"/>
      <c r="Y169" s="25" t="inlineStr">
        <is>
          <t>MS-ADM-022</t>
        </is>
      </c>
    </row>
    <row r="170" ht="150" customHeight="1">
      <c r="A170" s="12" t="inlineStr">
        <is>
          <t>MS-ADMA-007</t>
        </is>
      </c>
      <c r="B170" s="25" t="inlineStr">
        <is>
          <t>Admin</t>
        </is>
      </c>
      <c r="C170" s="25" t="inlineStr">
        <is>
          <t>15. Admin - access &amp; order management</t>
        </is>
      </c>
      <c r="D170" s="25" t="inlineStr">
        <is>
          <t>Order detail</t>
        </is>
      </c>
      <c r="E170" s="25" t="inlineStr">
        <is>
          <t>The Edit Item modal lets staff change product, size and quantity while the price is shown read-only.</t>
        </is>
      </c>
      <c r="F170" s="13" t="inlineStr">
        <is>
          <t>Medium</t>
        </is>
      </c>
      <c r="G170" s="25" t="inlineStr">
        <is>
          <t>Functional</t>
        </is>
      </c>
      <c r="H170" s="25" t="inlineStr">
        <is>
          <t>Admin panel dev-1 (https://dev-static-1-admin-panel.musticker.com) signed in with a staff account. Test order in 제작 전.</t>
        </is>
      </c>
      <c r="I170" s="25" t="inlineStr">
        <is>
          <t>New size and quantity values valid for the product.</t>
        </is>
      </c>
      <c r="J170" s="25" t="inlineStr">
        <is>
          <t>1. Click the edit icon on the item row.
2. Inspect the fields.
3. Try to edit the price.
4. Change size and quantity and save.
5. Check the item row, order totals and payment section.</t>
        </is>
      </c>
      <c r="K170" s="25" t="inlineStr">
        <is>
          <t>Product, size and quantity are editable; price is read-only; after saving the item row shows the new size/quantity and the recalculated amount.</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Known defect 2026-09-25: Add Item and item edit are still offered after Mark as Printing and on completed orders. If the new amount is lower than what was paid, see the refund case.</t>
        </is>
      </c>
      <c r="T170" s="14" t="inlineStr">
        <is>
          <t>Not Run</t>
        </is>
      </c>
      <c r="U170" s="15" t="n"/>
      <c r="V170" s="15" t="n"/>
      <c r="W170" s="15" t="n"/>
      <c r="X170" s="15" t="n"/>
      <c r="Y170" s="25" t="inlineStr">
        <is>
          <t>MS-ADM-023</t>
        </is>
      </c>
    </row>
    <row r="171" ht="150" customHeight="1">
      <c r="A171" s="12" t="inlineStr">
        <is>
          <t>MS-ADMA-008</t>
        </is>
      </c>
      <c r="B171" s="25" t="inlineStr">
        <is>
          <t>Admin</t>
        </is>
      </c>
      <c r="C171" s="25" t="inlineStr">
        <is>
          <t>15. Admin - access &amp; order management</t>
        </is>
      </c>
      <c r="D171" s="25" t="inlineStr">
        <is>
          <t>Order detail</t>
        </is>
      </c>
      <c r="E171" s="25" t="inlineStr">
        <is>
          <t>Add Item adds a new item to an order that has not gone to print, and is not offered once the order is printing or completed.</t>
        </is>
      </c>
      <c r="F171" s="13" t="inlineStr">
        <is>
          <t>Medium</t>
        </is>
      </c>
      <c r="G171" s="25" t="inlineStr">
        <is>
          <t>Functional</t>
        </is>
      </c>
      <c r="H171" s="25" t="inlineStr">
        <is>
          <t>Admin panel dev-1 (https://dev-static-1-admin-panel.musticker.com) signed in with a staff account. One test order in 제작 전, one at 인쇄 진행 중, one 주문 완료.</t>
        </is>
      </c>
      <c r="I171" s="25" t="inlineStr">
        <is>
          <t>A product/size/quantity valid for the storefront.</t>
        </is>
      </c>
      <c r="J171" s="25" t="inlineStr">
        <is>
          <t>1. On the 제작 전 order click Add Item, fill product/size/quantity and save.
2. Check the item list and totals.
3. Open the printing order and the completed order and look for Add Item and item edit.</t>
        </is>
      </c>
      <c r="K171" s="25" t="inlineStr">
        <is>
          <t>Step 1-2: the new item appears (Item 00N) with its price and the totals update. Step 3: Add Item and item edit are not offered on the printing or completed order.</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Add Item and item edit are still offered after Mark as Printing and on completed orders.</t>
        </is>
      </c>
      <c r="T171" s="14" t="inlineStr">
        <is>
          <t>Not Run</t>
        </is>
      </c>
      <c r="U171" s="15" t="n"/>
      <c r="V171" s="15" t="n"/>
      <c r="W171" s="15" t="n"/>
      <c r="X171" s="15" t="n"/>
      <c r="Y171" s="25" t="inlineStr">
        <is>
          <t>MS-ADM-024</t>
        </is>
      </c>
    </row>
    <row r="172" ht="150" customHeight="1">
      <c r="A172" s="12" t="inlineStr">
        <is>
          <t>MS-ADMA-009</t>
        </is>
      </c>
      <c r="B172" s="25" t="inlineStr">
        <is>
          <t>Admin</t>
        </is>
      </c>
      <c r="C172" s="25" t="inlineStr">
        <is>
          <t>15. Admin - access &amp; order management</t>
        </is>
      </c>
      <c r="D172" s="25" t="inlineStr">
        <is>
          <t>Order detail</t>
        </is>
      </c>
      <c r="E172" s="25" t="inlineStr">
        <is>
          <t>The More Actions menu offers Open Invoice, Resend Invoice and Download Job Details, and each works.</t>
        </is>
      </c>
      <c r="F172" s="13" t="inlineStr">
        <is>
          <t>Medium</t>
        </is>
      </c>
      <c r="G172" s="25" t="inlineStr">
        <is>
          <t>Functional</t>
        </is>
      </c>
      <c r="H172" s="25" t="inlineStr">
        <is>
          <t>Admin panel dev-1 (https://dev-static-1-admin-panel.musticker.com) signed in with a staff account. Test order of the seeded member; access to the member mailbox.</t>
        </is>
      </c>
      <c r="I172" s="25" t="inlineStr">
        <is>
          <t>-</t>
        </is>
      </c>
      <c r="J172" s="25" t="inlineStr">
        <is>
          <t>1. Open More Actions.
2. Click Open Invoice.
3. Click Resend Invoice.
4. Click Download Job Details.</t>
        </is>
      </c>
      <c r="K172" s="25" t="inlineStr">
        <is>
          <t>Step 1: the three actions are listed. Step 2: the invoice for this order opens. Step 3: the invoice email reaches the member. Step 4: a job-details file for the order is downloaded.</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Resend Invoice emails the member. Downloaded file content not yet verified field by field.</t>
        </is>
      </c>
      <c r="T172" s="14" t="inlineStr">
        <is>
          <t>Not Run</t>
        </is>
      </c>
      <c r="U172" s="15" t="n"/>
      <c r="V172" s="15" t="n"/>
      <c r="W172" s="15" t="n"/>
      <c r="X172" s="15" t="n"/>
      <c r="Y172" s="25" t="inlineStr">
        <is>
          <t>MS-ADM-026</t>
        </is>
      </c>
    </row>
    <row r="173" ht="150" customHeight="1">
      <c r="A173" s="12" t="inlineStr">
        <is>
          <t>MS-ADMA-010</t>
        </is>
      </c>
      <c r="B173" s="25" t="inlineStr">
        <is>
          <t>Storefront + Admin</t>
        </is>
      </c>
      <c r="C173" s="25" t="inlineStr">
        <is>
          <t>15. Admin - access &amp; order management</t>
        </is>
      </c>
      <c r="D173" s="25" t="inlineStr">
        <is>
          <t>Payments and completion</t>
        </is>
      </c>
      <c r="E173" s="25" t="inlineStr">
        <is>
          <t>Verify Payment records the order's payment as verified.</t>
        </is>
      </c>
      <c r="F173" s="13" t="inlineStr">
        <is>
          <t>High</t>
        </is>
      </c>
      <c r="G173" s="25" t="inlineStr">
        <is>
          <t>Functional</t>
        </is>
      </c>
      <c r="H173" s="25" t="inlineStr">
        <is>
          <t>Admin panel dev-1 (https://dev-static-1-admin-panel.musticker.com) signed in with a staff account. Test order whose payment is not yet verified.</t>
        </is>
      </c>
      <c r="I173" s="25" t="inlineStr">
        <is>
          <t>-</t>
        </is>
      </c>
      <c r="J173" s="25" t="inlineStr">
        <is>
          <t>1. Open the order payment section.
2. Click Verify Payment and confirm.
3. Check the payment status in the admin panel and the storefront.</t>
        </is>
      </c>
      <c r="K173" s="25" t="inlineStr">
        <is>
          <t>Payment status becomes paid/verified and Verify Payment is no longer offered.</t>
        </is>
      </c>
      <c r="L173" s="13" t="inlineStr">
        <is>
          <t>Planned</t>
        </is>
      </c>
      <c r="M173" s="25" t="inlineStr">
        <is>
          <t>Dev only</t>
        </is>
      </c>
      <c r="N173" s="25" t="inlineStr">
        <is>
          <t>RUN_ADMIN_DESTRUCTIVE_E2E=true + saved admin session</t>
        </is>
      </c>
      <c r="O173" s="25" t="inlineStr">
        <is>
          <t>-</t>
        </is>
      </c>
      <c r="P173" s="25" t="inlineStr">
        <is>
          <t>-</t>
        </is>
      </c>
      <c r="Q173" s="25" t="inlineStr">
        <is>
          <t>-</t>
        </is>
      </c>
      <c r="R173" s="13" t="n">
        <v>0</v>
      </c>
      <c r="S173" s="25" t="n"/>
      <c r="T173" s="14" t="inlineStr">
        <is>
          <t>Not Run</t>
        </is>
      </c>
      <c r="U173" s="15" t="n"/>
      <c r="V173" s="15" t="n"/>
      <c r="W173" s="15" t="n"/>
      <c r="X173" s="15" t="n"/>
      <c r="Y173" s="25" t="inlineStr">
        <is>
          <t>MS-ADM-028</t>
        </is>
      </c>
    </row>
    <row r="174" ht="150" customHeight="1">
      <c r="A174" s="12" t="inlineStr">
        <is>
          <t>MS-ADMA-011</t>
        </is>
      </c>
      <c r="B174" s="25" t="inlineStr">
        <is>
          <t>Admin</t>
        </is>
      </c>
      <c r="C174" s="25" t="inlineStr">
        <is>
          <t>15. Admin - access &amp; order management</t>
        </is>
      </c>
      <c r="D174" s="25" t="inlineStr">
        <is>
          <t>Payments and completion</t>
        </is>
      </c>
      <c r="E174" s="25" t="inlineStr">
        <is>
          <t>Reducing an item after payment shows 환불 관련 with the refundable amount, and Verify Refund settles it.</t>
        </is>
      </c>
      <c r="F174" s="13" t="inlineStr">
        <is>
          <t>High</t>
        </is>
      </c>
      <c r="G174" s="25" t="inlineStr">
        <is>
          <t>Functional</t>
        </is>
      </c>
      <c r="H174" s="25" t="inlineStr">
        <is>
          <t>Admin panel dev-1 (https://dev-static-1-admin-panel.musticker.com) signed in with a staff account. Paid test order in 제작 전.</t>
        </is>
      </c>
      <c r="I174" s="25" t="inlineStr">
        <is>
          <t>Reduce quantity (or size) so the item amount drops by a known value.</t>
        </is>
      </c>
      <c r="J174" s="25" t="inlineStr">
        <is>
          <t>1. Edit the item to a lower amount and save.
2. Check the payment section.
3. Click Verify Refund and confirm.
4. Check the payment section again.</t>
        </is>
      </c>
      <c r="K174" s="25" t="inlineStr">
        <is>
          <t>Step 2: payment shows 환불 관련 with refundable amount = amount paid minus new total. Step 4: the refund is recorded and the pending amount is cleared.</t>
        </is>
      </c>
      <c r="L174" s="13" t="inlineStr">
        <is>
          <t>Planned</t>
        </is>
      </c>
      <c r="M174" s="25" t="inlineStr">
        <is>
          <t>Dev only</t>
        </is>
      </c>
      <c r="N174" s="25" t="inlineStr">
        <is>
          <t>RUN_ADMIN_DESTRUCTIVE_E2E=true + saved admin session</t>
        </is>
      </c>
      <c r="O174" s="25" t="inlineStr">
        <is>
          <t>-</t>
        </is>
      </c>
      <c r="P174" s="25" t="inlineStr">
        <is>
          <t>-</t>
        </is>
      </c>
      <c r="Q174" s="25" t="inlineStr">
        <is>
          <t>-</t>
        </is>
      </c>
      <c r="R174" s="13" t="n">
        <v>0</v>
      </c>
      <c r="S174" s="25" t="inlineStr">
        <is>
          <t>On 2026-09-25 a 55,000원 refundable amount was shown after an item was reduced post-payment. See also the pending-refund case (known defect).</t>
        </is>
      </c>
      <c r="T174" s="14" t="inlineStr">
        <is>
          <t>Not Run</t>
        </is>
      </c>
      <c r="U174" s="15" t="n"/>
      <c r="V174" s="15" t="n"/>
      <c r="W174" s="15" t="n"/>
      <c r="X174" s="15" t="n"/>
      <c r="Y174" s="25" t="inlineStr">
        <is>
          <t>MS-ADM-029</t>
        </is>
      </c>
    </row>
    <row r="175" ht="150" customHeight="1">
      <c r="A175" s="12" t="inlineStr">
        <is>
          <t>MS-ADMA-012</t>
        </is>
      </c>
      <c r="B175" s="25" t="inlineStr">
        <is>
          <t>Admin</t>
        </is>
      </c>
      <c r="C175" s="25" t="inlineStr">
        <is>
          <t>15. Admin - access &amp; order management</t>
        </is>
      </c>
      <c r="D175" s="25" t="inlineStr">
        <is>
          <t>Payments and completion</t>
        </is>
      </c>
      <c r="E175" s="25" t="inlineStr">
        <is>
          <t>An order with a pending refund cannot be moved to production or completed until the refund is verified.</t>
        </is>
      </c>
      <c r="F175" s="13" t="inlineStr">
        <is>
          <t>High</t>
        </is>
      </c>
      <c r="G175" s="25" t="inlineStr">
        <is>
          <t>Negative</t>
        </is>
      </c>
      <c r="H175" s="25" t="inlineStr">
        <is>
          <t>Admin panel dev-1 (https://dev-static-1-admin-panel.musticker.com) signed in with a staff account. Paid test order in 제작 전 with item approved (A-FPA) and a pending refund created by reducing an item.</t>
        </is>
      </c>
      <c r="I175" s="25" t="inlineStr">
        <is>
          <t>Pending refund amount (e.g. 55,000원).</t>
        </is>
      </c>
      <c r="J175" s="25" t="inlineStr">
        <is>
          <t>1. Confirm 환불 관련 shows a pending refundable amount.
2. Try Mark as Printing.
3. If it proceeds, try tracking and Update to 배송 완료.</t>
        </is>
      </c>
      <c r="K175" s="25" t="inlineStr">
        <is>
          <t>Mark as Printing (and every later step) is blocked or warns until Verify Refund is done; the order cannot reach 주문 완료 with a refund pending.</t>
        </is>
      </c>
      <c r="L175" s="13" t="inlineStr">
        <is>
          <t>Planned</t>
        </is>
      </c>
      <c r="M175" s="25" t="inlineStr">
        <is>
          <t>Dev only</t>
        </is>
      </c>
      <c r="N175" s="25" t="inlineStr">
        <is>
          <t>RUN_ADMIN_DESTRUCTIVE_E2E=true + saved admin session</t>
        </is>
      </c>
      <c r="O175" s="25" t="inlineStr">
        <is>
          <t>-</t>
        </is>
      </c>
      <c r="P175" s="25" t="inlineStr">
        <is>
          <t>-</t>
        </is>
      </c>
      <c r="Q175" s="25" t="inlineStr">
        <is>
          <t>-</t>
        </is>
      </c>
      <c r="R175" s="13" t="n">
        <v>0</v>
      </c>
      <c r="S175" s="25" t="inlineStr">
        <is>
          <t>Known defect 2026-09-25: an order was moved to production and completed while a 55,000원 refund was still pending.</t>
        </is>
      </c>
      <c r="T175" s="14" t="inlineStr">
        <is>
          <t>Not Run</t>
        </is>
      </c>
      <c r="U175" s="15" t="n"/>
      <c r="V175" s="15" t="n"/>
      <c r="W175" s="15" t="n"/>
      <c r="X175" s="15" t="n"/>
      <c r="Y175" s="25" t="inlineStr">
        <is>
          <t>MS-ADM-030</t>
        </is>
      </c>
    </row>
    <row r="176" ht="150" customHeight="1">
      <c r="A176" s="12" t="inlineStr">
        <is>
          <t>MS-ADMA-013</t>
        </is>
      </c>
      <c r="B176" s="25" t="inlineStr">
        <is>
          <t>Storefront + Admin</t>
        </is>
      </c>
      <c r="C176" s="25" t="inlineStr">
        <is>
          <t>15. Admin - access &amp; order management</t>
        </is>
      </c>
      <c r="D176" s="25" t="inlineStr">
        <is>
          <t>Payments and completion</t>
        </is>
      </c>
      <c r="E176" s="25" t="inlineStr">
        <is>
          <t>On the storefront a completed order has 주문 보류 and 주문 취소 disabled and is listed under 이전 내역, not 진행 중.</t>
        </is>
      </c>
      <c r="F176" s="13" t="inlineStr">
        <is>
          <t>Medium</t>
        </is>
      </c>
      <c r="G176" s="25" t="inlineStr">
        <is>
          <t>UI</t>
        </is>
      </c>
      <c r="H176" s="25" t="inlineStr">
        <is>
          <t>Seeded member signed in on dev-1 storefront; a test order at 주문 완료 (e.g. after MS-ADMO-001).</t>
        </is>
      </c>
      <c r="I176" s="25" t="inlineStr">
        <is>
          <t>Completed order number.</t>
        </is>
      </c>
      <c r="J176" s="25" t="inlineStr">
        <is>
          <t>1. Open /kr/account/orders on the 진행 중 segment and search the order.
2. Switch to 이전 내역 and search it.
3. Open the order and inspect 주문 보류 and 주문 취소.</t>
        </is>
      </c>
      <c r="K176" s="25" t="inlineStr">
        <is>
          <t>The order is listed under 이전 내역 only; in the detail pane 주문 보류 and 주문 취소 are disabled; 배송 조회 shows "운송장 번호: &lt;no&gt;".</t>
        </is>
      </c>
      <c r="L176" s="13" t="inlineStr">
        <is>
          <t>Planned</t>
        </is>
      </c>
      <c r="M176" s="25" t="inlineStr">
        <is>
          <t>Dev only</t>
        </is>
      </c>
      <c r="N176" s="25" t="inlineStr">
        <is>
          <t>RUN_ADMIN_DESTRUCTIVE_E2E=true + saved admin session</t>
        </is>
      </c>
      <c r="O176" s="25" t="inlineStr">
        <is>
          <t>-</t>
        </is>
      </c>
      <c r="P176" s="25" t="inlineStr">
        <is>
          <t>-</t>
        </is>
      </c>
      <c r="Q176" s="25" t="inlineStr">
        <is>
          <t>-</t>
        </is>
      </c>
      <c r="R176" s="13" t="n">
        <v>0</v>
      </c>
      <c r="S176"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6" s="14" t="inlineStr">
        <is>
          <t>Not Run</t>
        </is>
      </c>
      <c r="U176" s="15" t="n"/>
      <c r="V176" s="15" t="n"/>
      <c r="W176" s="15" t="n"/>
      <c r="X176" s="15" t="n"/>
      <c r="Y176" s="25" t="inlineStr">
        <is>
          <t>MS-ADM-031</t>
        </is>
      </c>
    </row>
    <row r="177" ht="150" customHeight="1">
      <c r="A177" s="12" t="inlineStr">
        <is>
          <t>MS-DSC-008</t>
        </is>
      </c>
      <c r="B177" s="25" t="inlineStr">
        <is>
          <t>Storefront</t>
        </is>
      </c>
      <c r="C177" s="25" t="inlineStr">
        <is>
          <t>2. Discovery &amp; content</t>
        </is>
      </c>
      <c r="D177" s="25" t="inlineStr">
        <is>
          <t>Public content</t>
        </is>
      </c>
      <c r="E177" s="25" t="inlineStr">
        <is>
          <t>footer order link selects its FAQ topic and survives reload</t>
        </is>
      </c>
      <c r="F177" s="13" t="inlineStr">
        <is>
          <t>High</t>
        </is>
      </c>
      <c r="G177" s="25" t="inlineStr">
        <is>
          <t>Regression</t>
        </is>
      </c>
      <c r="H177" s="25" t="inlineStr">
        <is>
          <t>Fresh anonymous browser context; production read-only.</t>
        </is>
      </c>
      <c r="I177" s="25" t="inlineStr">
        <is>
          <t>tests/fixtures/public-content-data.ts</t>
        </is>
      </c>
      <c r="J177" s="25" t="inlineStr">
        <is>
          <t>1. Open /kr.
2. Follow the footer order support link.
3. Verify topic selection and its question.
4. Reload and verify selection persists.</t>
        </is>
      </c>
      <c r="K177" s="25" t="inlineStr">
        <is>
          <t>The intended FAQ topic is selected, its question is visible, membership questions are hidden, and reload preserves the topic.</t>
        </is>
      </c>
      <c r="L177" s="13" t="inlineStr">
        <is>
          <t>Automated</t>
        </is>
      </c>
      <c r="M177" s="25" t="inlineStr">
        <is>
          <t>Production-safe</t>
        </is>
      </c>
      <c r="N177" s="25" t="inlineStr">
        <is>
          <t>-</t>
        </is>
      </c>
      <c r="O177" s="25" t="inlineStr">
        <is>
          <t>tests/e2e/storefront/discovery/public-content.spec.ts</t>
        </is>
      </c>
      <c r="P177" s="25" t="inlineStr">
        <is>
          <t>MS-DSC-008 footer order link selects its FAQ topic and survives reload</t>
        </is>
      </c>
      <c r="Q177" s="25" t="inlineStr">
        <is>
          <t>@regression @production @discovery</t>
        </is>
      </c>
      <c r="R177" s="13" t="n">
        <v>1</v>
      </c>
      <c r="S177" s="25" t="inlineStr">
        <is>
          <t>Added after read-only Chromium exploration on 2026-10-23. No orders, accounts, messages or admin data are created.</t>
        </is>
      </c>
      <c r="T177" s="14" t="inlineStr">
        <is>
          <t>Pass</t>
        </is>
      </c>
      <c r="U177" s="15" t="inlineStr">
        <is>
          <t>MUS-QA-021</t>
        </is>
      </c>
      <c r="V177" s="15" t="inlineStr">
        <is>
          <t>Codex / Playwright</t>
        </is>
      </c>
      <c r="W177" s="15" t="inlineStr">
        <is>
          <t>2026-10-23</t>
        </is>
      </c>
      <c r="X177" s="15" t="inlineStr">
        <is>
          <t>dev-2; retries=0. Full desktop: 1 passed, 0 failed, 0 skipped. See Dev-2 Audit 2026-10-23.</t>
        </is>
      </c>
      <c r="Y177" s="25" t="n"/>
    </row>
    <row r="178" ht="150" customHeight="1">
      <c r="A178" s="12" t="inlineStr">
        <is>
          <t>MS-DSC-009</t>
        </is>
      </c>
      <c r="B178" s="25" t="inlineStr">
        <is>
          <t>Storefront</t>
        </is>
      </c>
      <c r="C178" s="25" t="inlineStr">
        <is>
          <t>2. Discovery &amp; content</t>
        </is>
      </c>
      <c r="D178" s="25" t="inlineStr">
        <is>
          <t>Public content</t>
        </is>
      </c>
      <c r="E178" s="25" t="inlineStr">
        <is>
          <t>footer artwork link selects its FAQ topic and survives reload</t>
        </is>
      </c>
      <c r="F178" s="13" t="inlineStr">
        <is>
          <t>High</t>
        </is>
      </c>
      <c r="G178" s="25" t="inlineStr">
        <is>
          <t>Regression</t>
        </is>
      </c>
      <c r="H178" s="25" t="inlineStr">
        <is>
          <t>Fresh anonymous browser context; production read-only.</t>
        </is>
      </c>
      <c r="I178" s="25" t="inlineStr">
        <is>
          <t>tests/fixtures/public-content-data.ts</t>
        </is>
      </c>
      <c r="J178" s="25" t="inlineStr">
        <is>
          <t>1. Open /kr.
2. Follow the footer artwork support link.
3. Verify topic selection and its question.
4. Reload and verify selection persists.</t>
        </is>
      </c>
      <c r="K178" s="25" t="inlineStr">
        <is>
          <t>The intended FAQ topic is selected, its question is visible, membership questions are hidden, and reload preserves the topic.</t>
        </is>
      </c>
      <c r="L178" s="13" t="inlineStr">
        <is>
          <t>Automated</t>
        </is>
      </c>
      <c r="M178" s="25" t="inlineStr">
        <is>
          <t>Production-safe</t>
        </is>
      </c>
      <c r="N178" s="25" t="inlineStr">
        <is>
          <t>-</t>
        </is>
      </c>
      <c r="O178" s="25" t="inlineStr">
        <is>
          <t>tests/e2e/storefront/discovery/public-content.spec.ts</t>
        </is>
      </c>
      <c r="P178" s="25" t="inlineStr">
        <is>
          <t>MS-DSC-009 footer artwork link selects its FAQ topic and survives reload</t>
        </is>
      </c>
      <c r="Q178" s="25" t="inlineStr">
        <is>
          <t>@regression @production @discovery</t>
        </is>
      </c>
      <c r="R178" s="13" t="n">
        <v>1</v>
      </c>
      <c r="S178" s="25" t="inlineStr">
        <is>
          <t>Added after read-only Chromium exploration on 2026-10-23. No orders, accounts, messages or admin data are created.</t>
        </is>
      </c>
      <c r="T178" s="14" t="inlineStr">
        <is>
          <t>Pass</t>
        </is>
      </c>
      <c r="U178" s="15" t="n"/>
      <c r="V178" s="15" t="inlineStr">
        <is>
          <t>Codex / Playwright</t>
        </is>
      </c>
      <c r="W178" s="15" t="inlineStr">
        <is>
          <t>2026-10-23</t>
        </is>
      </c>
      <c r="X178" s="15" t="inlineStr">
        <is>
          <t>dev-2; retries=0. Full desktop: 1 passed, 0 failed, 0 skipped. See Dev-2 Audit 2026-10-23.</t>
        </is>
      </c>
      <c r="Y178" s="25" t="n"/>
    </row>
    <row r="179" ht="150" customHeight="1">
      <c r="A179" s="12" t="inlineStr">
        <is>
          <t>MS-DSC-010</t>
        </is>
      </c>
      <c r="B179" s="25" t="inlineStr">
        <is>
          <t>Storefront</t>
        </is>
      </c>
      <c r="C179" s="25" t="inlineStr">
        <is>
          <t>2. Discovery &amp; content</t>
        </is>
      </c>
      <c r="D179" s="25" t="inlineStr">
        <is>
          <t>Public content</t>
        </is>
      </c>
      <c r="E179" s="25" t="inlineStr">
        <is>
          <t>footer shipping link selects its FAQ topic and survives reload</t>
        </is>
      </c>
      <c r="F179" s="13" t="inlineStr">
        <is>
          <t>High</t>
        </is>
      </c>
      <c r="G179" s="25" t="inlineStr">
        <is>
          <t>Regression</t>
        </is>
      </c>
      <c r="H179" s="25" t="inlineStr">
        <is>
          <t>Fresh anonymous browser context; production read-only.</t>
        </is>
      </c>
      <c r="I179" s="25" t="inlineStr">
        <is>
          <t>tests/fixtures/public-content-data.ts</t>
        </is>
      </c>
      <c r="J179" s="25" t="inlineStr">
        <is>
          <t>1. Open /kr.
2. Follow the footer shipping support link.
3. Verify topic selection and its question.
4. Reload and verify selection persists.</t>
        </is>
      </c>
      <c r="K179" s="25" t="inlineStr">
        <is>
          <t>The intended FAQ topic is selected, its question is visible, membership questions are hidden, and reload preserves the topic. The shipping answer is automatically visible before and after reload.</t>
        </is>
      </c>
      <c r="L179" s="13" t="inlineStr">
        <is>
          <t>Automated</t>
        </is>
      </c>
      <c r="M179" s="25" t="inlineStr">
        <is>
          <t>Production-safe</t>
        </is>
      </c>
      <c r="N179" s="25" t="inlineStr">
        <is>
          <t>-</t>
        </is>
      </c>
      <c r="O179" s="25" t="inlineStr">
        <is>
          <t>tests/e2e/storefront/discovery/public-content.spec.ts</t>
        </is>
      </c>
      <c r="P179" s="25" t="inlineStr">
        <is>
          <t>MS-DSC-010 footer shipping link selects its FAQ topic and survives reload</t>
        </is>
      </c>
      <c r="Q179" s="25" t="inlineStr">
        <is>
          <t>@regression @production @discovery</t>
        </is>
      </c>
      <c r="R179" s="13" t="n">
        <v>1</v>
      </c>
      <c r="S179" s="25" t="inlineStr">
        <is>
          <t>Added after read-only Chromium exploration on 2026-10-23. No orders, accounts, messages or admin data are created.</t>
        </is>
      </c>
      <c r="T179" s="14" t="inlineStr">
        <is>
          <t>Pass</t>
        </is>
      </c>
      <c r="U179" s="15" t="inlineStr">
        <is>
          <t>MUS-QA-021</t>
        </is>
      </c>
      <c r="V179" s="15" t="inlineStr">
        <is>
          <t>Codex / Playwright</t>
        </is>
      </c>
      <c r="W179" s="15" t="inlineStr">
        <is>
          <t>2026-10-23</t>
        </is>
      </c>
      <c r="X179" s="15" t="inlineStr">
        <is>
          <t>dev-2; retries=0. Full desktop: 1 passed, 0 failed, 0 skipped. See Dev-2 Audit 2026-10-23.</t>
        </is>
      </c>
      <c r="Y179" s="25" t="n"/>
    </row>
    <row r="180" ht="150" customHeight="1">
      <c r="A180" s="12" t="inlineStr">
        <is>
          <t>MS-DSC-011</t>
        </is>
      </c>
      <c r="B180" s="25" t="inlineStr">
        <is>
          <t>Storefront</t>
        </is>
      </c>
      <c r="C180" s="25" t="inlineStr">
        <is>
          <t>2. Discovery &amp; content</t>
        </is>
      </c>
      <c r="D180" s="25" t="inlineStr">
        <is>
          <t>Public content</t>
        </is>
      </c>
      <c r="E180" s="25" t="inlineStr">
        <is>
          <t>footer refund link selects its FAQ topic and survives reload</t>
        </is>
      </c>
      <c r="F180" s="13" t="inlineStr">
        <is>
          <t>High</t>
        </is>
      </c>
      <c r="G180" s="25" t="inlineStr">
        <is>
          <t>Regression</t>
        </is>
      </c>
      <c r="H180" s="25" t="inlineStr">
        <is>
          <t>Fresh anonymous browser context; production read-only.</t>
        </is>
      </c>
      <c r="I180" s="25" t="inlineStr">
        <is>
          <t>tests/fixtures/public-content-data.ts</t>
        </is>
      </c>
      <c r="J180" s="25" t="inlineStr">
        <is>
          <t>1. Open /kr.
2. Follow the footer refund support link.
3. Verify topic selection and its question.
4. Reload and verify selection persists.</t>
        </is>
      </c>
      <c r="K180" s="25" t="inlineStr">
        <is>
          <t>The intended FAQ topic is selected, its question is visible, membership questions are hidden, and reload preserves the topic.</t>
        </is>
      </c>
      <c r="L180" s="13" t="inlineStr">
        <is>
          <t>Automated</t>
        </is>
      </c>
      <c r="M180" s="25" t="inlineStr">
        <is>
          <t>Production-safe</t>
        </is>
      </c>
      <c r="N180" s="25" t="inlineStr">
        <is>
          <t>-</t>
        </is>
      </c>
      <c r="O180" s="25" t="inlineStr">
        <is>
          <t>tests/e2e/storefront/discovery/public-content.spec.ts</t>
        </is>
      </c>
      <c r="P180" s="25" t="inlineStr">
        <is>
          <t>MS-DSC-011 footer refund link selects its FAQ topic and survives reload</t>
        </is>
      </c>
      <c r="Q180" s="25" t="inlineStr">
        <is>
          <t>@regression @production @discovery</t>
        </is>
      </c>
      <c r="R180" s="13" t="n">
        <v>1</v>
      </c>
      <c r="S180" s="25" t="inlineStr">
        <is>
          <t>Added after read-only Chromium exploration on 2026-10-23. No orders, accounts, messages or admin data are created.</t>
        </is>
      </c>
      <c r="T180" s="14" t="inlineStr">
        <is>
          <t>Pass</t>
        </is>
      </c>
      <c r="U180" s="15" t="n"/>
      <c r="V180" s="15" t="inlineStr">
        <is>
          <t>Codex / Playwright</t>
        </is>
      </c>
      <c r="W180" s="15" t="inlineStr">
        <is>
          <t>2026-10-23</t>
        </is>
      </c>
      <c r="X180" s="15" t="inlineStr">
        <is>
          <t>dev-2; retries=0. Full desktop: 1 passed, 0 failed, 0 skipped. See Dev-2 Audit 2026-10-23.</t>
        </is>
      </c>
      <c r="Y180" s="25" t="n"/>
    </row>
    <row r="181" ht="150" customHeight="1">
      <c r="A181" s="12" t="inlineStr">
        <is>
          <t>MS-DSC-012</t>
        </is>
      </c>
      <c r="B181" s="25" t="inlineStr">
        <is>
          <t>Storefront</t>
        </is>
      </c>
      <c r="C181" s="25" t="inlineStr">
        <is>
          <t>2. Discovery &amp; content</t>
        </is>
      </c>
      <c r="D181" s="25" t="inlineStr">
        <is>
          <t>Public content</t>
        </is>
      </c>
      <c r="E181" s="25" t="inlineStr">
        <is>
          <t>footer terms link renders its public content</t>
        </is>
      </c>
      <c r="F181" s="13" t="inlineStr">
        <is>
          <t>High</t>
        </is>
      </c>
      <c r="G181" s="25" t="inlineStr">
        <is>
          <t>Regression</t>
        </is>
      </c>
      <c r="H181" s="25" t="inlineStr">
        <is>
          <t>Fresh anonymous browser context; production read-only.</t>
        </is>
      </c>
      <c r="I181" s="25" t="inlineStr">
        <is>
          <t>tests/fixtures/public-content-data.ts</t>
        </is>
      </c>
      <c r="J181" s="25" t="inlineStr">
        <is>
          <t>1. Open /kr.
2. Follow the footer terms link, including any new tab.
3. Verify its URL, heading and content.
4. Follow the section link and verify its destination is in view.</t>
        </is>
      </c>
      <c r="K181" s="25" t="inlineStr">
        <is>
          <t>The linked public page renders meaningful content. The selected policy section is reachable through the sidebar.</t>
        </is>
      </c>
      <c r="L181" s="13" t="inlineStr">
        <is>
          <t>Automated</t>
        </is>
      </c>
      <c r="M181" s="25" t="inlineStr">
        <is>
          <t>Production-safe</t>
        </is>
      </c>
      <c r="N181" s="25" t="inlineStr">
        <is>
          <t>-</t>
        </is>
      </c>
      <c r="O181" s="25" t="inlineStr">
        <is>
          <t>tests/e2e/storefront/discovery/public-content.spec.ts</t>
        </is>
      </c>
      <c r="P181" s="25" t="inlineStr">
        <is>
          <t>MS-DSC-012 footer terms link renders its public content</t>
        </is>
      </c>
      <c r="Q181" s="25" t="inlineStr">
        <is>
          <t>@regression @production @discovery</t>
        </is>
      </c>
      <c r="R181" s="13" t="n">
        <v>1</v>
      </c>
      <c r="S181" s="25" t="inlineStr">
        <is>
          <t>Added after read-only Chromium exploration on 2026-10-23. No orders, accounts, messages or admin data are created.</t>
        </is>
      </c>
      <c r="T181" s="14" t="inlineStr">
        <is>
          <t>Pass</t>
        </is>
      </c>
      <c r="U181" s="15" t="n"/>
      <c r="V181" s="15" t="inlineStr">
        <is>
          <t>Codex / Playwright</t>
        </is>
      </c>
      <c r="W181" s="15" t="inlineStr">
        <is>
          <t>2026-10-23</t>
        </is>
      </c>
      <c r="X181" s="15" t="inlineStr">
        <is>
          <t>dev-2; retries=0. Full desktop: 1 passed, 0 failed, 0 skipped. See Dev-2 Audit 2026-10-23.</t>
        </is>
      </c>
      <c r="Y181" s="25" t="n"/>
    </row>
    <row r="182" ht="150" customHeight="1">
      <c r="A182" s="12" t="inlineStr">
        <is>
          <t>MS-DSC-013</t>
        </is>
      </c>
      <c r="B182" s="25" t="inlineStr">
        <is>
          <t>Storefront</t>
        </is>
      </c>
      <c r="C182" s="25" t="inlineStr">
        <is>
          <t>2. Discovery &amp; content</t>
        </is>
      </c>
      <c r="D182" s="25" t="inlineStr">
        <is>
          <t>Public content</t>
        </is>
      </c>
      <c r="E182" s="25" t="inlineStr">
        <is>
          <t>footer privacy link renders its public content</t>
        </is>
      </c>
      <c r="F182" s="13" t="inlineStr">
        <is>
          <t>High</t>
        </is>
      </c>
      <c r="G182" s="25" t="inlineStr">
        <is>
          <t>Regression</t>
        </is>
      </c>
      <c r="H182" s="25" t="inlineStr">
        <is>
          <t>Fresh anonymous browser context; production read-only.</t>
        </is>
      </c>
      <c r="I182" s="25" t="inlineStr">
        <is>
          <t>tests/fixtures/public-content-data.ts</t>
        </is>
      </c>
      <c r="J182" s="25" t="inlineStr">
        <is>
          <t>1. Open /kr.
2. Follow the footer privacy link, including any new tab.
3. Verify its URL, heading and content.
4. Follow the section link and verify its destination is in view.</t>
        </is>
      </c>
      <c r="K182" s="25" t="inlineStr">
        <is>
          <t>The linked public page renders meaningful content. The selected policy section is reachable through the sidebar.</t>
        </is>
      </c>
      <c r="L182" s="13" t="inlineStr">
        <is>
          <t>Automated</t>
        </is>
      </c>
      <c r="M182" s="25" t="inlineStr">
        <is>
          <t>Production-safe</t>
        </is>
      </c>
      <c r="N182" s="25" t="inlineStr">
        <is>
          <t>-</t>
        </is>
      </c>
      <c r="O182" s="25" t="inlineStr">
        <is>
          <t>tests/e2e/storefront/discovery/public-content.spec.ts</t>
        </is>
      </c>
      <c r="P182" s="25" t="inlineStr">
        <is>
          <t>MS-DSC-013 footer privacy link renders its public content</t>
        </is>
      </c>
      <c r="Q182" s="25" t="inlineStr">
        <is>
          <t>@regression @production @discovery</t>
        </is>
      </c>
      <c r="R182" s="13" t="n">
        <v>1</v>
      </c>
      <c r="S182" s="25" t="inlineStr">
        <is>
          <t>Added after read-only Chromium exploration on 2026-10-23. No orders, accounts, messages or admin data are created.</t>
        </is>
      </c>
      <c r="T182" s="14" t="inlineStr">
        <is>
          <t>Pass</t>
        </is>
      </c>
      <c r="U182" s="15" t="n"/>
      <c r="V182" s="15" t="inlineStr">
        <is>
          <t>Codex / Playwright</t>
        </is>
      </c>
      <c r="W182" s="15" t="inlineStr">
        <is>
          <t>2026-10-23</t>
        </is>
      </c>
      <c r="X182" s="15" t="inlineStr">
        <is>
          <t>dev-2; retries=0. Full desktop: 1 passed, 0 failed, 0 skipped. See Dev-2 Audit 2026-10-23.</t>
        </is>
      </c>
      <c r="Y182" s="25" t="n"/>
    </row>
    <row r="183" ht="150" customHeight="1">
      <c r="A183" s="12" t="inlineStr">
        <is>
          <t>MS-DSC-014</t>
        </is>
      </c>
      <c r="B183" s="25" t="inlineStr">
        <is>
          <t>Storefront</t>
        </is>
      </c>
      <c r="C183" s="25" t="inlineStr">
        <is>
          <t>2. Discovery &amp; content</t>
        </is>
      </c>
      <c r="D183" s="25" t="inlineStr">
        <is>
          <t>Public content</t>
        </is>
      </c>
      <c r="E183" s="25" t="inlineStr">
        <is>
          <t>footer licenses link renders its public content</t>
        </is>
      </c>
      <c r="F183" s="13" t="inlineStr">
        <is>
          <t>High</t>
        </is>
      </c>
      <c r="G183" s="25" t="inlineStr">
        <is>
          <t>Regression</t>
        </is>
      </c>
      <c r="H183" s="25" t="inlineStr">
        <is>
          <t>Fresh anonymous browser context; production read-only.</t>
        </is>
      </c>
      <c r="I183" s="25" t="inlineStr">
        <is>
          <t>tests/fixtures/public-content-data.ts</t>
        </is>
      </c>
      <c r="J183" s="25" t="inlineStr">
        <is>
          <t>1. Open /kr.
2. Follow the footer licenses link, including any new tab.
3. Verify its URL, heading and content.</t>
        </is>
      </c>
      <c r="K183" s="25" t="inlineStr">
        <is>
          <t>The linked public page renders meaningful content.</t>
        </is>
      </c>
      <c r="L183" s="13" t="inlineStr">
        <is>
          <t>Automated</t>
        </is>
      </c>
      <c r="M183" s="25" t="inlineStr">
        <is>
          <t>Production-safe</t>
        </is>
      </c>
      <c r="N183" s="25" t="inlineStr">
        <is>
          <t>-</t>
        </is>
      </c>
      <c r="O183" s="25" t="inlineStr">
        <is>
          <t>tests/e2e/storefront/discovery/public-content.spec.ts</t>
        </is>
      </c>
      <c r="P183" s="25" t="inlineStr">
        <is>
          <t>MS-DSC-014 footer licenses link renders its public content</t>
        </is>
      </c>
      <c r="Q183" s="25" t="inlineStr">
        <is>
          <t>@regression @production @discovery</t>
        </is>
      </c>
      <c r="R183" s="13" t="n">
        <v>1</v>
      </c>
      <c r="S183" s="25" t="inlineStr">
        <is>
          <t>Added after read-only Chromium exploration on 2026-10-23. No orders, accounts, messages or admin data are created.</t>
        </is>
      </c>
      <c r="T183" s="14" t="inlineStr">
        <is>
          <t>Pass</t>
        </is>
      </c>
      <c r="U183" s="15" t="n"/>
      <c r="V183" s="15" t="inlineStr">
        <is>
          <t>Codex / Playwright</t>
        </is>
      </c>
      <c r="W183" s="15" t="inlineStr">
        <is>
          <t>2026-10-23</t>
        </is>
      </c>
      <c r="X183" s="15" t="inlineStr">
        <is>
          <t>dev-2; retries=0. Full desktop: 1 passed, 0 failed, 0 skipped. See Dev-2 Audit 2026-10-23.</t>
        </is>
      </c>
      <c r="Y183" s="25" t="n"/>
    </row>
    <row r="184" ht="150" customHeight="1">
      <c r="A184" s="12" t="inlineStr">
        <is>
          <t>MS-DSC-015</t>
        </is>
      </c>
      <c r="B184" s="25" t="inlineStr">
        <is>
          <t>Storefront</t>
        </is>
      </c>
      <c r="C184" s="25" t="inlineStr">
        <is>
          <t>2. Discovery &amp; content</t>
        </is>
      </c>
      <c r="D184" s="25" t="inlineStr">
        <is>
          <t>Public content</t>
        </is>
      </c>
      <c r="E184" s="25" t="inlineStr">
        <is>
          <t>footer announcements link renders its public content</t>
        </is>
      </c>
      <c r="F184" s="13" t="inlineStr">
        <is>
          <t>High</t>
        </is>
      </c>
      <c r="G184" s="25" t="inlineStr">
        <is>
          <t>Regression</t>
        </is>
      </c>
      <c r="H184" s="25" t="inlineStr">
        <is>
          <t>Fresh anonymous browser context; production read-only.</t>
        </is>
      </c>
      <c r="I184" s="25" t="inlineStr">
        <is>
          <t>tests/fixtures/public-content-data.ts</t>
        </is>
      </c>
      <c r="J184" s="25" t="inlineStr">
        <is>
          <t>1. Open /kr.
2. Follow the footer announcements link, including any new tab.
3. Verify its URL, heading and content.</t>
        </is>
      </c>
      <c r="K184" s="25" t="inlineStr">
        <is>
          <t>The linked public page renders meaningful content.</t>
        </is>
      </c>
      <c r="L184" s="13" t="inlineStr">
        <is>
          <t>Automated</t>
        </is>
      </c>
      <c r="M184" s="25" t="inlineStr">
        <is>
          <t>Production-safe</t>
        </is>
      </c>
      <c r="N184" s="25" t="inlineStr">
        <is>
          <t>-</t>
        </is>
      </c>
      <c r="O184" s="25" t="inlineStr">
        <is>
          <t>tests/e2e/storefront/discovery/public-content.spec.ts</t>
        </is>
      </c>
      <c r="P184" s="25" t="inlineStr">
        <is>
          <t>MS-DSC-015 footer announcements link renders its public content</t>
        </is>
      </c>
      <c r="Q184" s="25" t="inlineStr">
        <is>
          <t>@regression @production @discovery</t>
        </is>
      </c>
      <c r="R184" s="13" t="n">
        <v>1</v>
      </c>
      <c r="S184" s="25" t="inlineStr">
        <is>
          <t>Added after read-only Chromium exploration on 2026-10-23. No orders, accounts, messages or admin data are created.</t>
        </is>
      </c>
      <c r="T184" s="14" t="inlineStr">
        <is>
          <t>Pass</t>
        </is>
      </c>
      <c r="U184" s="15" t="n"/>
      <c r="V184" s="15" t="inlineStr">
        <is>
          <t>Codex / Playwright</t>
        </is>
      </c>
      <c r="W184" s="15" t="inlineStr">
        <is>
          <t>2026-10-23</t>
        </is>
      </c>
      <c r="X184" s="15" t="inlineStr">
        <is>
          <t>dev-2; retries=0. Full desktop: 1 passed, 0 failed, 0 skipped. See Dev-2 Audit 2026-10-23.</t>
        </is>
      </c>
      <c r="Y184" s="25" t="n"/>
    </row>
    <row r="185" ht="150" customHeight="1">
      <c r="A185" s="12" t="inlineStr">
        <is>
          <t>MS-NAV-009</t>
        </is>
      </c>
      <c r="B185" s="25" t="inlineStr">
        <is>
          <t>Storefront</t>
        </is>
      </c>
      <c r="C185" s="25" t="inlineStr">
        <is>
          <t>1. Smoke &amp; core navigation</t>
        </is>
      </c>
      <c r="D185" s="25" t="inlineStr">
        <is>
          <t>Header search</t>
        </is>
      </c>
      <c r="E185" s="25" t="inlineStr">
        <is>
          <t>search recovers from no results when the query is replaced</t>
        </is>
      </c>
      <c r="F185" s="13" t="inlineStr">
        <is>
          <t>High</t>
        </is>
      </c>
      <c r="G185" s="25" t="inlineStr">
        <is>
          <t>Regression</t>
        </is>
      </c>
      <c r="H185" s="25" t="inlineStr">
        <is>
          <t>Fresh anonymous browser context; production read-only.</t>
        </is>
      </c>
      <c r="I185" s="25" t="inlineStr">
        <is>
          <t>tests/fixtures/public-content-data.ts</t>
        </is>
      </c>
      <c r="J185" s="25" t="inlineStr">
        <is>
          <t>1. Open header search.
2. Submit a unique unmatched query.
3. Verify empty state and zero results.
4. Replace with the sticker query.</t>
        </is>
      </c>
      <c r="K185" s="25" t="inlineStr">
        <is>
          <t>A matching product result appears and the no-results state disappears.</t>
        </is>
      </c>
      <c r="L185" s="13" t="inlineStr">
        <is>
          <t>Automated</t>
        </is>
      </c>
      <c r="M185" s="25" t="inlineStr">
        <is>
          <t>Production-safe</t>
        </is>
      </c>
      <c r="N185" s="25" t="inlineStr">
        <is>
          <t>-</t>
        </is>
      </c>
      <c r="O185" s="25" t="inlineStr">
        <is>
          <t>tests/e2e/storefront/navigation/header-search.spec.ts</t>
        </is>
      </c>
      <c r="P185" s="25" t="inlineStr">
        <is>
          <t>MS-NAV-009 search recovers from no results when the query is replaced</t>
        </is>
      </c>
      <c r="Q185" s="25" t="inlineStr">
        <is>
          <t>@regression @production @discovery</t>
        </is>
      </c>
      <c r="R185" s="13" t="n">
        <v>1</v>
      </c>
      <c r="S185" s="25" t="inlineStr">
        <is>
          <t>Added after read-only Chromium exploration on 2026-10-23. No orders, accounts, messages or admin data are created.</t>
        </is>
      </c>
      <c r="T185" s="14" t="inlineStr">
        <is>
          <t>Pass</t>
        </is>
      </c>
      <c r="U185" s="15" t="n"/>
      <c r="V185" s="15" t="inlineStr">
        <is>
          <t>Codex / Playwright</t>
        </is>
      </c>
      <c r="W185" s="15" t="inlineStr">
        <is>
          <t>2026-10-23</t>
        </is>
      </c>
      <c r="X185" s="15" t="inlineStr">
        <is>
          <t>dev-2; retries=0. Full desktop: 1 passed, 0 failed, 0 skipped. See Dev-2 Audit 2026-10-23.</t>
        </is>
      </c>
      <c r="Y185" s="25" t="n"/>
    </row>
    <row r="186" ht="150" customHeight="1">
      <c r="A186" s="12" t="inlineStr">
        <is>
          <t>MS-NAV-010</t>
        </is>
      </c>
      <c r="B186" s="25" t="inlineStr">
        <is>
          <t>Storefront</t>
        </is>
      </c>
      <c r="C186" s="25" t="inlineStr">
        <is>
          <t>1. Smoke &amp; core navigation</t>
        </is>
      </c>
      <c r="D186" s="25" t="inlineStr">
        <is>
          <t>Header search</t>
        </is>
      </c>
      <c r="E186" s="25" t="inlineStr">
        <is>
          <t>selecting a search result opens the product and closes search</t>
        </is>
      </c>
      <c r="F186" s="13" t="inlineStr">
        <is>
          <t>High</t>
        </is>
      </c>
      <c r="G186" s="25" t="inlineStr">
        <is>
          <t>Regression</t>
        </is>
      </c>
      <c r="H186" s="25" t="inlineStr">
        <is>
          <t>Fresh anonymous browser context; production read-only.</t>
        </is>
      </c>
      <c r="I186" s="25" t="inlineStr">
        <is>
          <t>tests/fixtures/public-content-data.ts</t>
        </is>
      </c>
      <c r="J186" s="25" t="inlineStr">
        <is>
          <t>1. Open header search.
2. Search for stickers.
3. Select the die-cut sticker result.</t>
        </is>
      </c>
      <c r="K186" s="25" t="inlineStr">
        <is>
          <t>The die-cut sticker URL and a product heading appear; the search dialog closes.</t>
        </is>
      </c>
      <c r="L186" s="13" t="inlineStr">
        <is>
          <t>Automated</t>
        </is>
      </c>
      <c r="M186" s="25" t="inlineStr">
        <is>
          <t>Production-safe</t>
        </is>
      </c>
      <c r="N186" s="25" t="inlineStr">
        <is>
          <t>-</t>
        </is>
      </c>
      <c r="O186" s="25" t="inlineStr">
        <is>
          <t>tests/e2e/storefront/navigation/header-search.spec.ts</t>
        </is>
      </c>
      <c r="P186" s="25" t="inlineStr">
        <is>
          <t>MS-NAV-010 selecting a search result opens the product and closes search</t>
        </is>
      </c>
      <c r="Q186" s="25" t="inlineStr">
        <is>
          <t>@regression @production @discovery</t>
        </is>
      </c>
      <c r="R186" s="13" t="n">
        <v>1</v>
      </c>
      <c r="S186" s="25" t="inlineStr">
        <is>
          <t>Added after read-only Chromium exploration on 2026-10-23. No orders, accounts, messages or admin data are created.</t>
        </is>
      </c>
      <c r="T186" s="14" t="inlineStr">
        <is>
          <t>Pass</t>
        </is>
      </c>
      <c r="U186" s="15" t="n"/>
      <c r="V186" s="15" t="inlineStr">
        <is>
          <t>Codex / Playwright</t>
        </is>
      </c>
      <c r="W186" s="15" t="inlineStr">
        <is>
          <t>2026-10-23</t>
        </is>
      </c>
      <c r="X186" s="15" t="inlineStr">
        <is>
          <t>dev-2; retries=0. Full desktop: 1 passed, 0 failed, 0 skipped. See Dev-2 Audit 2026-10-23.</t>
        </is>
      </c>
      <c r="Y186" s="25" t="n"/>
    </row>
    <row r="187" ht="150" customHeight="1">
      <c r="A187" s="12" t="inlineStr">
        <is>
          <t>MS-NAV-011</t>
        </is>
      </c>
      <c r="B187" s="25" t="inlineStr">
        <is>
          <t>Storefront</t>
        </is>
      </c>
      <c r="C187" s="25" t="inlineStr">
        <is>
          <t>1. Smoke &amp; core navigation</t>
        </is>
      </c>
      <c r="D187" s="25" t="inlineStr">
        <is>
          <t>Public entry</t>
        </is>
      </c>
      <c r="E187" s="25" t="inlineStr">
        <is>
          <t>public root entry renders the storefront with localized support links</t>
        </is>
      </c>
      <c r="F187" s="13" t="inlineStr">
        <is>
          <t>High</t>
        </is>
      </c>
      <c r="G187" s="25" t="inlineStr">
        <is>
          <t>Regression</t>
        </is>
      </c>
      <c r="H187" s="25" t="inlineStr">
        <is>
          <t>Fresh anonymous browser context; production read-only.</t>
        </is>
      </c>
      <c r="I187" s="25" t="inlineStr">
        <is>
          <t>tests/fixtures/public-content-data.ts</t>
        </is>
      </c>
      <c r="J187" s="25" t="inlineStr">
        <is>
          <t>1. Navigate to the production origin without /kr.
2. Verify HTTP success, home heading and the FAQ footer link.</t>
        </is>
      </c>
      <c r="K187" s="25" t="inlineStr">
        <is>
          <t>The public root returns HTTP 200 and renders the storefront; its FAQ link points to the localized /kr/faq route.</t>
        </is>
      </c>
      <c r="L187" s="13" t="inlineStr">
        <is>
          <t>Automated</t>
        </is>
      </c>
      <c r="M187" s="25" t="inlineStr">
        <is>
          <t>Production-safe</t>
        </is>
      </c>
      <c r="N187" s="25" t="inlineStr">
        <is>
          <t>-</t>
        </is>
      </c>
      <c r="O187" s="25" t="inlineStr">
        <is>
          <t>tests/e2e/storefront/navigation/public-entry.spec.ts</t>
        </is>
      </c>
      <c r="P187" s="25" t="inlineStr">
        <is>
          <t>MS-NAV-011 public root entry renders the storefront with localized support links</t>
        </is>
      </c>
      <c r="Q187" s="25" t="inlineStr">
        <is>
          <t>@regression @production @discovery</t>
        </is>
      </c>
      <c r="R187" s="13" t="n">
        <v>1</v>
      </c>
      <c r="S187" s="25" t="inlineStr">
        <is>
          <t>Added after read-only Chromium exploration on 2026-10-23. No orders, accounts, messages or admin data are created.</t>
        </is>
      </c>
      <c r="T187" s="14" t="inlineStr">
        <is>
          <t>Pass</t>
        </is>
      </c>
      <c r="U187" s="15" t="n"/>
      <c r="V187" s="15" t="inlineStr">
        <is>
          <t>Codex / Playwright</t>
        </is>
      </c>
      <c r="W187" s="15" t="inlineStr">
        <is>
          <t>2026-10-23</t>
        </is>
      </c>
      <c r="X187" s="15" t="inlineStr">
        <is>
          <t>dev-2; retries=0. Full desktop: 1 passed, 0 failed, 0 skipped. See Dev-2 Audit 2026-10-23.</t>
        </is>
      </c>
      <c r="Y187" s="25" t="n"/>
    </row>
    <row r="188">
      <c r="A188" s="12" t="inlineStr">
        <is>
          <t>MS-API-004</t>
        </is>
      </c>
      <c r="B188" s="25" t="inlineStr">
        <is>
          <t>Storefront</t>
        </is>
      </c>
      <c r="C188" s="25" t="inlineStr">
        <is>
          <t>11. Public API</t>
        </is>
      </c>
      <c r="D188" s="25" t="inlineStr">
        <is>
          <t>API authorization</t>
        </is>
      </c>
      <c r="E188" s="25" t="inlineStr">
        <is>
          <t>anonymous requests cannot read profile overview</t>
        </is>
      </c>
      <c r="F188" s="13" t="inlineStr">
        <is>
          <t>High</t>
        </is>
      </c>
      <c r="G188" s="25" t="inlineStr">
        <is>
          <t>API</t>
        </is>
      </c>
      <c r="H188" s="25" t="inlineStr">
        <is>
          <t>Fresh anonymous request context; no browser or member state.</t>
        </is>
      </c>
      <c r="I188" s="25" t="inlineStr">
        <is>
          <t>Synthetic invalid-login data only.</t>
        </is>
      </c>
      <c r="J188" s="25" t="inlineStr">
        <is>
          <t>GET /sys/kr/profile/overview</t>
        </is>
      </c>
      <c r="K188" s="25" t="inlineStr">
        <is>
          <t>401 JSON with success=false, data=null and a nonempty message; no server trace.</t>
        </is>
      </c>
      <c r="L188" s="13" t="inlineStr">
        <is>
          <t>Automated</t>
        </is>
      </c>
      <c r="M188" s="25" t="inlineStr">
        <is>
          <t>Production-safe</t>
        </is>
      </c>
      <c r="N188" s="25" t="inlineStr">
        <is>
          <t>-</t>
        </is>
      </c>
      <c r="O188" s="25" t="inlineStr">
        <is>
          <t>tests/e2e/storefront/api/authorization.spec.ts</t>
        </is>
      </c>
      <c r="P188" s="25" t="inlineStr">
        <is>
          <t>MS-API-004 anonymous requests cannot read profile overview</t>
        </is>
      </c>
      <c r="Q188" s="25" t="inlineStr">
        <is>
          <t>@api @regression @production</t>
        </is>
      </c>
      <c r="R188" s="13" t="n">
        <v>1</v>
      </c>
      <c r="S188" s="25" t="inlineStr">
        <is>
          <t>Testing tiers added 2026-10-23. No account creation, email sending or order changes.</t>
        </is>
      </c>
      <c r="T188" s="14" t="inlineStr">
        <is>
          <t>Pass</t>
        </is>
      </c>
      <c r="U188" s="15" t="n"/>
      <c r="V188" s="15" t="inlineStr">
        <is>
          <t>Codex / Playwright API</t>
        </is>
      </c>
      <c r="W188" s="15" t="inlineStr">
        <is>
          <t>2026-10-23</t>
        </is>
      </c>
      <c r="X188" s="15" t="inlineStr">
        <is>
          <t>Verified on production. Evidence: test-results/tier-api.json.</t>
        </is>
      </c>
      <c r="Y188" s="25" t="n"/>
    </row>
    <row r="189">
      <c r="A189" s="12" t="inlineStr">
        <is>
          <t>MS-API-005</t>
        </is>
      </c>
      <c r="B189" s="25" t="inlineStr">
        <is>
          <t>Storefront</t>
        </is>
      </c>
      <c r="C189" s="25" t="inlineStr">
        <is>
          <t>11. Public API</t>
        </is>
      </c>
      <c r="D189" s="25" t="inlineStr">
        <is>
          <t>API authorization</t>
        </is>
      </c>
      <c r="E189" s="25" t="inlineStr">
        <is>
          <t>anonymous requests cannot read saved addresses</t>
        </is>
      </c>
      <c r="F189" s="13" t="inlineStr">
        <is>
          <t>High</t>
        </is>
      </c>
      <c r="G189" s="25" t="inlineStr">
        <is>
          <t>API</t>
        </is>
      </c>
      <c r="H189" s="25" t="inlineStr">
        <is>
          <t>Fresh anonymous request context; no browser or member state.</t>
        </is>
      </c>
      <c r="I189" s="25" t="inlineStr">
        <is>
          <t>Synthetic invalid-login data only.</t>
        </is>
      </c>
      <c r="J189" s="25" t="inlineStr">
        <is>
          <t>GET /sys/kr/user-address</t>
        </is>
      </c>
      <c r="K189" s="25" t="inlineStr">
        <is>
          <t>401 JSON with success=false, data=null and a nonempty message; no server trace.</t>
        </is>
      </c>
      <c r="L189" s="13" t="inlineStr">
        <is>
          <t>Automated</t>
        </is>
      </c>
      <c r="M189" s="25" t="inlineStr">
        <is>
          <t>Production-safe</t>
        </is>
      </c>
      <c r="N189" s="25" t="inlineStr">
        <is>
          <t>-</t>
        </is>
      </c>
      <c r="O189" s="25" t="inlineStr">
        <is>
          <t>tests/e2e/storefront/api/authorization.spec.ts</t>
        </is>
      </c>
      <c r="P189" s="25" t="inlineStr">
        <is>
          <t>MS-API-005 anonymous requests cannot read saved addresses</t>
        </is>
      </c>
      <c r="Q189" s="25" t="inlineStr">
        <is>
          <t>@api @regression @production</t>
        </is>
      </c>
      <c r="R189" s="13" t="n">
        <v>1</v>
      </c>
      <c r="S189" s="25" t="inlineStr">
        <is>
          <t>Testing tiers added 2026-10-23. No account creation, email sending or order changes.</t>
        </is>
      </c>
      <c r="T189" s="14" t="inlineStr">
        <is>
          <t>Pass</t>
        </is>
      </c>
      <c r="U189" s="15" t="n"/>
      <c r="V189" s="15" t="inlineStr">
        <is>
          <t>Codex / Playwright API</t>
        </is>
      </c>
      <c r="W189" s="15" t="inlineStr">
        <is>
          <t>2026-10-23</t>
        </is>
      </c>
      <c r="X189" s="15" t="inlineStr">
        <is>
          <t>Verified on production. Evidence: test-results/tier-api.json.</t>
        </is>
      </c>
      <c r="Y189" s="25" t="n"/>
    </row>
    <row r="190">
      <c r="A190" s="12" t="inlineStr">
        <is>
          <t>MS-API-006</t>
        </is>
      </c>
      <c r="B190" s="25" t="inlineStr">
        <is>
          <t>Storefront</t>
        </is>
      </c>
      <c r="C190" s="25" t="inlineStr">
        <is>
          <t>11. Public API</t>
        </is>
      </c>
      <c r="D190" s="25" t="inlineStr">
        <is>
          <t>API authorization</t>
        </is>
      </c>
      <c r="E190" s="25" t="inlineStr">
        <is>
          <t>anonymous requests cannot read points balance</t>
        </is>
      </c>
      <c r="F190" s="13" t="inlineStr">
        <is>
          <t>High</t>
        </is>
      </c>
      <c r="G190" s="25" t="inlineStr">
        <is>
          <t>API</t>
        </is>
      </c>
      <c r="H190" s="25" t="inlineStr">
        <is>
          <t>Fresh anonymous request context; no browser or member state.</t>
        </is>
      </c>
      <c r="I190" s="25" t="inlineStr">
        <is>
          <t>Synthetic invalid-login data only.</t>
        </is>
      </c>
      <c r="J190" s="25" t="inlineStr">
        <is>
          <t>GET /sys/kr/user-point/points</t>
        </is>
      </c>
      <c r="K190" s="25" t="inlineStr">
        <is>
          <t>401 JSON with success=false, data=null and a nonempty message; no server trace.</t>
        </is>
      </c>
      <c r="L190" s="13" t="inlineStr">
        <is>
          <t>Automated</t>
        </is>
      </c>
      <c r="M190" s="25" t="inlineStr">
        <is>
          <t>Production-safe</t>
        </is>
      </c>
      <c r="N190" s="25" t="inlineStr">
        <is>
          <t>-</t>
        </is>
      </c>
      <c r="O190" s="25" t="inlineStr">
        <is>
          <t>tests/e2e/storefront/api/authorization.spec.ts</t>
        </is>
      </c>
      <c r="P190" s="25" t="inlineStr">
        <is>
          <t>MS-API-006 anonymous requests cannot read points balance</t>
        </is>
      </c>
      <c r="Q190" s="25" t="inlineStr">
        <is>
          <t>@api @regression @production</t>
        </is>
      </c>
      <c r="R190" s="13" t="n">
        <v>1</v>
      </c>
      <c r="S190" s="25" t="inlineStr">
        <is>
          <t>Testing tiers added 2026-10-23. No account creation, email sending or order changes.</t>
        </is>
      </c>
      <c r="T190" s="14" t="inlineStr">
        <is>
          <t>Pass</t>
        </is>
      </c>
      <c r="U190" s="15" t="n"/>
      <c r="V190" s="15" t="inlineStr">
        <is>
          <t>Codex / Playwright API</t>
        </is>
      </c>
      <c r="W190" s="15" t="inlineStr">
        <is>
          <t>2026-10-23</t>
        </is>
      </c>
      <c r="X190" s="15" t="inlineStr">
        <is>
          <t>Verified on production. Evidence: test-results/tier-api.json.</t>
        </is>
      </c>
      <c r="Y190" s="25" t="n"/>
    </row>
    <row r="191">
      <c r="A191" s="12" t="inlineStr">
        <is>
          <t>MS-API-007</t>
        </is>
      </c>
      <c r="B191" s="25" t="inlineStr">
        <is>
          <t>Storefront</t>
        </is>
      </c>
      <c r="C191" s="25" t="inlineStr">
        <is>
          <t>11. Public API</t>
        </is>
      </c>
      <c r="D191" s="25" t="inlineStr">
        <is>
          <t>API auth validation</t>
        </is>
      </c>
      <c r="E191" s="25" t="inlineStr">
        <is>
          <t>malformed login data returns field-level validation errors</t>
        </is>
      </c>
      <c r="F191" s="13" t="inlineStr">
        <is>
          <t>High</t>
        </is>
      </c>
      <c r="G191" s="25" t="inlineStr">
        <is>
          <t>API</t>
        </is>
      </c>
      <c r="H191" s="25" t="inlineStr">
        <is>
          <t>Fresh anonymous request context; no browser or member state.</t>
        </is>
      </c>
      <c r="I191" s="25" t="inlineStr">
        <is>
          <t>Synthetic invalid-login data only.</t>
        </is>
      </c>
      <c r="J191" s="25" t="inlineStr">
        <is>
          <t>POST malformed email and blank password to /sys/kr/auth/login; then GET /sys/kr/user/me.</t>
        </is>
      </c>
      <c r="K191" s="25" t="inlineStr">
        <is>
          <t>HTTP 200 with success=false and email/password error arrays; user/me remains 401.</t>
        </is>
      </c>
      <c r="L191" s="13" t="inlineStr">
        <is>
          <t>Automated</t>
        </is>
      </c>
      <c r="M191" s="25" t="inlineStr">
        <is>
          <t>Production-safe</t>
        </is>
      </c>
      <c r="N191" s="25" t="inlineStr">
        <is>
          <t>-</t>
        </is>
      </c>
      <c r="O191" s="25" t="inlineStr">
        <is>
          <t>tests/e2e/storefront/api/auth-validation.spec.ts</t>
        </is>
      </c>
      <c r="P191" s="25" t="inlineStr">
        <is>
          <t>MS-API-007 malformed login data returns field-level validation errors</t>
        </is>
      </c>
      <c r="Q191" s="25" t="inlineStr">
        <is>
          <t>@api @regression @production</t>
        </is>
      </c>
      <c r="R191" s="13" t="n">
        <v>1</v>
      </c>
      <c r="S191" s="25" t="inlineStr">
        <is>
          <t>Testing tiers added 2026-10-23. No account creation, email sending or order changes.</t>
        </is>
      </c>
      <c r="T191" s="14" t="inlineStr">
        <is>
          <t>Pass</t>
        </is>
      </c>
      <c r="U191" s="15" t="n"/>
      <c r="V191" s="15" t="inlineStr">
        <is>
          <t>Codex / Playwright API</t>
        </is>
      </c>
      <c r="W191" s="15" t="inlineStr">
        <is>
          <t>2026-10-23</t>
        </is>
      </c>
      <c r="X191" s="15" t="inlineStr">
        <is>
          <t>Verified on production. Evidence: test-results/tier-api.json.</t>
        </is>
      </c>
      <c r="Y191" s="25" t="n"/>
    </row>
    <row r="192">
      <c r="A192" s="12" t="inlineStr">
        <is>
          <t>MS-API-008</t>
        </is>
      </c>
      <c r="B192" s="25" t="inlineStr">
        <is>
          <t>Storefront</t>
        </is>
      </c>
      <c r="C192" s="25" t="inlineStr">
        <is>
          <t>11. Public API</t>
        </is>
      </c>
      <c r="D192" s="25" t="inlineStr">
        <is>
          <t>API auth validation</t>
        </is>
      </c>
      <c r="E192" s="25" t="inlineStr">
        <is>
          <t>invalid credentials return an explicit rejection without authenticating</t>
        </is>
      </c>
      <c r="F192" s="13" t="inlineStr">
        <is>
          <t>High</t>
        </is>
      </c>
      <c r="G192" s="25" t="inlineStr">
        <is>
          <t>API</t>
        </is>
      </c>
      <c r="H192" s="25" t="inlineStr">
        <is>
          <t>Fresh anonymous request context; no browser or member state.</t>
        </is>
      </c>
      <c r="I192" s="25" t="inlineStr">
        <is>
          <t>Synthetic invalid-login data only.</t>
        </is>
      </c>
      <c r="J192" s="25" t="inlineStr">
        <is>
          <t>POST reserved invalid-login credentials to /sys/kr/auth/login; then GET /sys/kr/user/me.</t>
        </is>
      </c>
      <c r="K192" s="25" t="inlineStr">
        <is>
          <t>HTTP 200 with success=false and invalid_credentials code; user/me remains 401.</t>
        </is>
      </c>
      <c r="L192" s="13" t="inlineStr">
        <is>
          <t>Automated</t>
        </is>
      </c>
      <c r="M192" s="25" t="inlineStr">
        <is>
          <t>Production-safe</t>
        </is>
      </c>
      <c r="N192" s="25" t="inlineStr">
        <is>
          <t>-</t>
        </is>
      </c>
      <c r="O192" s="25" t="inlineStr">
        <is>
          <t>tests/e2e/storefront/api/auth-validation.spec.ts</t>
        </is>
      </c>
      <c r="P192" s="25" t="inlineStr">
        <is>
          <t>MS-API-008 invalid credentials return an explicit rejection without authenticating</t>
        </is>
      </c>
      <c r="Q192" s="25" t="inlineStr">
        <is>
          <t>@api @regression @production</t>
        </is>
      </c>
      <c r="R192" s="13" t="n">
        <v>1</v>
      </c>
      <c r="S192" s="25" t="inlineStr">
        <is>
          <t>Testing tiers added 2026-10-23. No account creation, email sending or order changes.</t>
        </is>
      </c>
      <c r="T192" s="14" t="inlineStr">
        <is>
          <t>Pass</t>
        </is>
      </c>
      <c r="U192" s="15" t="n"/>
      <c r="V192" s="15" t="inlineStr">
        <is>
          <t>Codex / Playwright API</t>
        </is>
      </c>
      <c r="W192" s="15" t="inlineStr">
        <is>
          <t>2026-10-23</t>
        </is>
      </c>
      <c r="X192" s="15" t="inlineStr">
        <is>
          <t>Verified on production. Evidence: test-results/tier-api.json.</t>
        </is>
      </c>
      <c r="Y192" s="25" t="n"/>
    </row>
  </sheetData>
  <autoFilter ref="A1:Y192"/>
  <dataValidations count="3">
    <dataValidation sqref="T2:T192" showDropDown="0" showInputMessage="0" showErrorMessage="0" allowBlank="1" type="list">
      <formula1>"Not Run,Pass,Fail,Blocked,Partial,N/A"</formula1>
    </dataValidation>
    <dataValidation sqref="L2:L192" showDropDown="0" showInputMessage="0" showErrorMessage="0" allowBlank="0" type="list">
      <formula1>"Automated,Partial,Planned,Manual,Withdrawn"</formula1>
    </dataValidation>
    <dataValidation sqref="F2:F192"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(MS-ADMO-001,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MS-ADMO-001 2026-10-14; other testers</t>
        </is>
      </c>
      <c r="D17" s="25" t="inlineStr">
        <is>
          <t>AO-2609240008/2609250005: walked by hand 2026-09-25. AO-2609180003/2609090017: MS-ADMO-001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MS-CHK-005 / MS-CHK-006.</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MS-ADMO-001 on 2026-10-14 (AO-2609180003-dev, AO-2609090017-dev). The reference when a case and the product disagree.</t>
        </is>
      </c>
    </row>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Cases'!$C$2:$C$192,$A5)</f>
        <v/>
      </c>
      <c r="C5" s="13">
        <f>COUNTIFS('Test Cases'!$C$2:$C$192,$A5,'Test Cases'!$T$2:$T$192,"Not Run")</f>
        <v/>
      </c>
      <c r="D5" s="13">
        <f>COUNTIFS('Test Cases'!$C$2:$C$192,$A5,'Test Cases'!$T$2:$T$192,"Pass")</f>
        <v/>
      </c>
      <c r="E5" s="13">
        <f>COUNTIFS('Test Cases'!$C$2:$C$192,$A5,'Test Cases'!$T$2:$T$192,"Fail")</f>
        <v/>
      </c>
      <c r="F5" s="13">
        <f>COUNTIFS('Test Cases'!$C$2:$C$192,$A5,'Test Cases'!$T$2:$T$192,"Blocked")</f>
        <v/>
      </c>
      <c r="G5" s="13">
        <f>COUNTIFS('Test Cases'!$C$2:$C$192,$A5,'Test Cases'!$T$2:$T$192,"Partial")</f>
        <v/>
      </c>
      <c r="H5" s="13">
        <f>COUNTIFS('Test Cases'!$C$2:$C$192,$A5,'Test Cases'!$T$2:$T$192,"N/A")</f>
        <v/>
      </c>
      <c r="I5" s="19">
        <f>IFERROR(($B5-$C5-$H5)/($B5-$H5),0)</f>
        <v/>
      </c>
      <c r="J5" s="19">
        <f>IFERROR($D5/($B5-$C5-$H5),0)</f>
        <v/>
      </c>
      <c r="K5" s="13">
        <f>COUNTIFS('Test Cases'!$C$2:$C$192,$A5,'Test Cases'!$L$2:$L$192,"Automated")+COUNTIFS('Test Cases'!$C$2:$C$192,$A5,'Test Cases'!$L$2:$L$192,"Partial")</f>
        <v/>
      </c>
      <c r="L5" s="13">
        <f>COUNTIFS('Test Cases'!$C$2:$C$192,$A5,'Test Cases'!$L$2:$L$192,"Planned")</f>
        <v/>
      </c>
      <c r="M5" s="20">
        <f>SUMIFS('Test Cases'!$R$2:$R$192,'Test Cases'!$C$2:$C$192,$A5)</f>
        <v/>
      </c>
    </row>
    <row r="6">
      <c r="A6" s="12" t="inlineStr">
        <is>
          <t>2. Discovery &amp; content</t>
        </is>
      </c>
      <c r="B6" s="13">
        <f>COUNTIF('Test Cases'!$C$2:$C$192,$A6)</f>
        <v/>
      </c>
      <c r="C6" s="13">
        <f>COUNTIFS('Test Cases'!$C$2:$C$192,$A6,'Test Cases'!$T$2:$T$192,"Not Run")</f>
        <v/>
      </c>
      <c r="D6" s="13">
        <f>COUNTIFS('Test Cases'!$C$2:$C$192,$A6,'Test Cases'!$T$2:$T$192,"Pass")</f>
        <v/>
      </c>
      <c r="E6" s="13">
        <f>COUNTIFS('Test Cases'!$C$2:$C$192,$A6,'Test Cases'!$T$2:$T$192,"Fail")</f>
        <v/>
      </c>
      <c r="F6" s="13">
        <f>COUNTIFS('Test Cases'!$C$2:$C$192,$A6,'Test Cases'!$T$2:$T$192,"Blocked")</f>
        <v/>
      </c>
      <c r="G6" s="13">
        <f>COUNTIFS('Test Cases'!$C$2:$C$192,$A6,'Test Cases'!$T$2:$T$192,"Partial")</f>
        <v/>
      </c>
      <c r="H6" s="13">
        <f>COUNTIFS('Test Cases'!$C$2:$C$192,$A6,'Test Cases'!$T$2:$T$192,"N/A")</f>
        <v/>
      </c>
      <c r="I6" s="19">
        <f>IFERROR(($B6-$C6-$H6)/($B6-$H6),0)</f>
        <v/>
      </c>
      <c r="J6" s="19">
        <f>IFERROR($D6/($B6-$C6-$H6),0)</f>
        <v/>
      </c>
      <c r="K6" s="13">
        <f>COUNTIFS('Test Cases'!$C$2:$C$192,$A6,'Test Cases'!$L$2:$L$192,"Automated")+COUNTIFS('Test Cases'!$C$2:$C$192,$A6,'Test Cases'!$L$2:$L$192,"Partial")</f>
        <v/>
      </c>
      <c r="L6" s="13">
        <f>COUNTIFS('Test Cases'!$C$2:$C$192,$A6,'Test Cases'!$L$2:$L$192,"Planned")</f>
        <v/>
      </c>
      <c r="M6" s="20">
        <f>SUMIFS('Test Cases'!$R$2:$R$192,'Test Cases'!$C$2:$C$192,$A6)</f>
        <v/>
      </c>
    </row>
    <row r="7">
      <c r="A7" s="12" t="inlineStr">
        <is>
          <t>3. Product configuration</t>
        </is>
      </c>
      <c r="B7" s="13">
        <f>COUNTIF('Test Cases'!$C$2:$C$192,$A7)</f>
        <v/>
      </c>
      <c r="C7" s="13">
        <f>COUNTIFS('Test Cases'!$C$2:$C$192,$A7,'Test Cases'!$T$2:$T$192,"Not Run")</f>
        <v/>
      </c>
      <c r="D7" s="13">
        <f>COUNTIFS('Test Cases'!$C$2:$C$192,$A7,'Test Cases'!$T$2:$T$192,"Pass")</f>
        <v/>
      </c>
      <c r="E7" s="13">
        <f>COUNTIFS('Test Cases'!$C$2:$C$192,$A7,'Test Cases'!$T$2:$T$192,"Fail")</f>
        <v/>
      </c>
      <c r="F7" s="13">
        <f>COUNTIFS('Test Cases'!$C$2:$C$192,$A7,'Test Cases'!$T$2:$T$192,"Blocked")</f>
        <v/>
      </c>
      <c r="G7" s="13">
        <f>COUNTIFS('Test Cases'!$C$2:$C$192,$A7,'Test Cases'!$T$2:$T$192,"Partial")</f>
        <v/>
      </c>
      <c r="H7" s="13">
        <f>COUNTIFS('Test Cases'!$C$2:$C$192,$A7,'Test Cases'!$T$2:$T$192,"N/A")</f>
        <v/>
      </c>
      <c r="I7" s="19">
        <f>IFERROR(($B7-$C7-$H7)/($B7-$H7),0)</f>
        <v/>
      </c>
      <c r="J7" s="19">
        <f>IFERROR($D7/($B7-$C7-$H7),0)</f>
        <v/>
      </c>
      <c r="K7" s="13">
        <f>COUNTIFS('Test Cases'!$C$2:$C$192,$A7,'Test Cases'!$L$2:$L$192,"Automated")+COUNTIFS('Test Cases'!$C$2:$C$192,$A7,'Test Cases'!$L$2:$L$192,"Partial")</f>
        <v/>
      </c>
      <c r="L7" s="13">
        <f>COUNTIFS('Test Cases'!$C$2:$C$192,$A7,'Test Cases'!$L$2:$L$192,"Planned")</f>
        <v/>
      </c>
      <c r="M7" s="20">
        <f>SUMIFS('Test Cases'!$R$2:$R$192,'Test Cases'!$C$2:$C$192,$A7)</f>
        <v/>
      </c>
    </row>
    <row r="8">
      <c r="A8" s="12" t="inlineStr">
        <is>
          <t>4. Sheet sticker size rules</t>
        </is>
      </c>
      <c r="B8" s="13">
        <f>COUNTIF('Test Cases'!$C$2:$C$192,$A8)</f>
        <v/>
      </c>
      <c r="C8" s="13">
        <f>COUNTIFS('Test Cases'!$C$2:$C$192,$A8,'Test Cases'!$T$2:$T$192,"Not Run")</f>
        <v/>
      </c>
      <c r="D8" s="13">
        <f>COUNTIFS('Test Cases'!$C$2:$C$192,$A8,'Test Cases'!$T$2:$T$192,"Pass")</f>
        <v/>
      </c>
      <c r="E8" s="13">
        <f>COUNTIFS('Test Cases'!$C$2:$C$192,$A8,'Test Cases'!$T$2:$T$192,"Fail")</f>
        <v/>
      </c>
      <c r="F8" s="13">
        <f>COUNTIFS('Test Cases'!$C$2:$C$192,$A8,'Test Cases'!$T$2:$T$192,"Blocked")</f>
        <v/>
      </c>
      <c r="G8" s="13">
        <f>COUNTIFS('Test Cases'!$C$2:$C$192,$A8,'Test Cases'!$T$2:$T$192,"Partial")</f>
        <v/>
      </c>
      <c r="H8" s="13">
        <f>COUNTIFS('Test Cases'!$C$2:$C$192,$A8,'Test Cases'!$T$2:$T$192,"N/A")</f>
        <v/>
      </c>
      <c r="I8" s="19">
        <f>IFERROR(($B8-$C8-$H8)/($B8-$H8),0)</f>
        <v/>
      </c>
      <c r="J8" s="19">
        <f>IFERROR($D8/($B8-$C8-$H8),0)</f>
        <v/>
      </c>
      <c r="K8" s="13">
        <f>COUNTIFS('Test Cases'!$C$2:$C$192,$A8,'Test Cases'!$L$2:$L$192,"Automated")+COUNTIFS('Test Cases'!$C$2:$C$192,$A8,'Test Cases'!$L$2:$L$192,"Partial")</f>
        <v/>
      </c>
      <c r="L8" s="13">
        <f>COUNTIFS('Test Cases'!$C$2:$C$192,$A8,'Test Cases'!$L$2:$L$192,"Planned")</f>
        <v/>
      </c>
      <c r="M8" s="20">
        <f>SUMIFS('Test Cases'!$R$2:$R$192,'Test Cases'!$C$2:$C$192,$A8)</f>
        <v/>
      </c>
    </row>
    <row r="9">
      <c r="A9" s="12" t="inlineStr">
        <is>
          <t>5. Cart</t>
        </is>
      </c>
      <c r="B9" s="13">
        <f>COUNTIF('Test Cases'!$C$2:$C$192,$A9)</f>
        <v/>
      </c>
      <c r="C9" s="13">
        <f>COUNTIFS('Test Cases'!$C$2:$C$192,$A9,'Test Cases'!$T$2:$T$192,"Not Run")</f>
        <v/>
      </c>
      <c r="D9" s="13">
        <f>COUNTIFS('Test Cases'!$C$2:$C$192,$A9,'Test Cases'!$T$2:$T$192,"Pass")</f>
        <v/>
      </c>
      <c r="E9" s="13">
        <f>COUNTIFS('Test Cases'!$C$2:$C$192,$A9,'Test Cases'!$T$2:$T$192,"Fail")</f>
        <v/>
      </c>
      <c r="F9" s="13">
        <f>COUNTIFS('Test Cases'!$C$2:$C$192,$A9,'Test Cases'!$T$2:$T$192,"Blocked")</f>
        <v/>
      </c>
      <c r="G9" s="13">
        <f>COUNTIFS('Test Cases'!$C$2:$C$192,$A9,'Test Cases'!$T$2:$T$192,"Partial")</f>
        <v/>
      </c>
      <c r="H9" s="13">
        <f>COUNTIFS('Test Cases'!$C$2:$C$192,$A9,'Test Cases'!$T$2:$T$192,"N/A")</f>
        <v/>
      </c>
      <c r="I9" s="19">
        <f>IFERROR(($B9-$C9-$H9)/($B9-$H9),0)</f>
        <v/>
      </c>
      <c r="J9" s="19">
        <f>IFERROR($D9/($B9-$C9-$H9),0)</f>
        <v/>
      </c>
      <c r="K9" s="13">
        <f>COUNTIFS('Test Cases'!$C$2:$C$192,$A9,'Test Cases'!$L$2:$L$192,"Automated")+COUNTIFS('Test Cases'!$C$2:$C$192,$A9,'Test Cases'!$L$2:$L$192,"Partial")</f>
        <v/>
      </c>
      <c r="L9" s="13">
        <f>COUNTIFS('Test Cases'!$C$2:$C$192,$A9,'Test Cases'!$L$2:$L$192,"Planned")</f>
        <v/>
      </c>
      <c r="M9" s="20">
        <f>SUMIFS('Test Cases'!$R$2:$R$192,'Test Cases'!$C$2:$C$192,$A9)</f>
        <v/>
      </c>
    </row>
    <row r="10">
      <c r="A10" s="12" t="inlineStr">
        <is>
          <t>6. Checkout &amp; money path</t>
        </is>
      </c>
      <c r="B10" s="13">
        <f>COUNTIF('Test Cases'!$C$2:$C$192,$A10)</f>
        <v/>
      </c>
      <c r="C10" s="13">
        <f>COUNTIFS('Test Cases'!$C$2:$C$192,$A10,'Test Cases'!$T$2:$T$192,"Not Run")</f>
        <v/>
      </c>
      <c r="D10" s="13">
        <f>COUNTIFS('Test Cases'!$C$2:$C$192,$A10,'Test Cases'!$T$2:$T$192,"Pass")</f>
        <v/>
      </c>
      <c r="E10" s="13">
        <f>COUNTIFS('Test Cases'!$C$2:$C$192,$A10,'Test Cases'!$T$2:$T$192,"Fail")</f>
        <v/>
      </c>
      <c r="F10" s="13">
        <f>COUNTIFS('Test Cases'!$C$2:$C$192,$A10,'Test Cases'!$T$2:$T$192,"Blocked")</f>
        <v/>
      </c>
      <c r="G10" s="13">
        <f>COUNTIFS('Test Cases'!$C$2:$C$192,$A10,'Test Cases'!$T$2:$T$192,"Partial")</f>
        <v/>
      </c>
      <c r="H10" s="13">
        <f>COUNTIFS('Test Cases'!$C$2:$C$192,$A10,'Test Cases'!$T$2:$T$192,"N/A")</f>
        <v/>
      </c>
      <c r="I10" s="19">
        <f>IFERROR(($B10-$C10-$H10)/($B10-$H10),0)</f>
        <v/>
      </c>
      <c r="J10" s="19">
        <f>IFERROR($D10/($B10-$C10-$H10),0)</f>
        <v/>
      </c>
      <c r="K10" s="13">
        <f>COUNTIFS('Test Cases'!$C$2:$C$192,$A10,'Test Cases'!$L$2:$L$192,"Automated")+COUNTIFS('Test Cases'!$C$2:$C$192,$A10,'Test Cases'!$L$2:$L$192,"Partial")</f>
        <v/>
      </c>
      <c r="L10" s="13">
        <f>COUNTIFS('Test Cases'!$C$2:$C$192,$A10,'Test Cases'!$L$2:$L$192,"Planned")</f>
        <v/>
      </c>
      <c r="M10" s="20">
        <f>SUMIFS('Test Cases'!$R$2:$R$192,'Test Cases'!$C$2:$C$192,$A10)</f>
        <v/>
      </c>
    </row>
    <row r="11">
      <c r="A11" s="12" t="inlineStr">
        <is>
          <t>7. Pricing</t>
        </is>
      </c>
      <c r="B11" s="13">
        <f>COUNTIF('Test Cases'!$C$2:$C$192,$A11)</f>
        <v/>
      </c>
      <c r="C11" s="13">
        <f>COUNTIFS('Test Cases'!$C$2:$C$192,$A11,'Test Cases'!$T$2:$T$192,"Not Run")</f>
        <v/>
      </c>
      <c r="D11" s="13">
        <f>COUNTIFS('Test Cases'!$C$2:$C$192,$A11,'Test Cases'!$T$2:$T$192,"Pass")</f>
        <v/>
      </c>
      <c r="E11" s="13">
        <f>COUNTIFS('Test Cases'!$C$2:$C$192,$A11,'Test Cases'!$T$2:$T$192,"Fail")</f>
        <v/>
      </c>
      <c r="F11" s="13">
        <f>COUNTIFS('Test Cases'!$C$2:$C$192,$A11,'Test Cases'!$T$2:$T$192,"Blocked")</f>
        <v/>
      </c>
      <c r="G11" s="13">
        <f>COUNTIFS('Test Cases'!$C$2:$C$192,$A11,'Test Cases'!$T$2:$T$192,"Partial")</f>
        <v/>
      </c>
      <c r="H11" s="13">
        <f>COUNTIFS('Test Cases'!$C$2:$C$192,$A11,'Test Cases'!$T$2:$T$192,"N/A")</f>
        <v/>
      </c>
      <c r="I11" s="19">
        <f>IFERROR(($B11-$C11-$H11)/($B11-$H11),0)</f>
        <v/>
      </c>
      <c r="J11" s="19">
        <f>IFERROR($D11/($B11-$C11-$H11),0)</f>
        <v/>
      </c>
      <c r="K11" s="13">
        <f>COUNTIFS('Test Cases'!$C$2:$C$192,$A11,'Test Cases'!$L$2:$L$192,"Automated")+COUNTIFS('Test Cases'!$C$2:$C$192,$A11,'Test Cases'!$L$2:$L$192,"Partial")</f>
        <v/>
      </c>
      <c r="L11" s="13">
        <f>COUNTIFS('Test Cases'!$C$2:$C$192,$A11,'Test Cases'!$L$2:$L$192,"Planned")</f>
        <v/>
      </c>
      <c r="M11" s="20">
        <f>SUMIFS('Test Cases'!$R$2:$R$192,'Test Cases'!$C$2:$C$192,$A11)</f>
        <v/>
      </c>
    </row>
    <row r="12">
      <c r="A12" s="12" t="inlineStr">
        <is>
          <t>8. Sign-in &amp; registration</t>
        </is>
      </c>
      <c r="B12" s="13">
        <f>COUNTIF('Test Cases'!$C$2:$C$192,$A12)</f>
        <v/>
      </c>
      <c r="C12" s="13">
        <f>COUNTIFS('Test Cases'!$C$2:$C$192,$A12,'Test Cases'!$T$2:$T$192,"Not Run")</f>
        <v/>
      </c>
      <c r="D12" s="13">
        <f>COUNTIFS('Test Cases'!$C$2:$C$192,$A12,'Test Cases'!$T$2:$T$192,"Pass")</f>
        <v/>
      </c>
      <c r="E12" s="13">
        <f>COUNTIFS('Test Cases'!$C$2:$C$192,$A12,'Test Cases'!$T$2:$T$192,"Fail")</f>
        <v/>
      </c>
      <c r="F12" s="13">
        <f>COUNTIFS('Test Cases'!$C$2:$C$192,$A12,'Test Cases'!$T$2:$T$192,"Blocked")</f>
        <v/>
      </c>
      <c r="G12" s="13">
        <f>COUNTIFS('Test Cases'!$C$2:$C$192,$A12,'Test Cases'!$T$2:$T$192,"Partial")</f>
        <v/>
      </c>
      <c r="H12" s="13">
        <f>COUNTIFS('Test Cases'!$C$2:$C$192,$A12,'Test Cases'!$T$2:$T$192,"N/A")</f>
        <v/>
      </c>
      <c r="I12" s="19">
        <f>IFERROR(($B12-$C12-$H12)/($B12-$H12),0)</f>
        <v/>
      </c>
      <c r="J12" s="19">
        <f>IFERROR($D12/($B12-$C12-$H12),0)</f>
        <v/>
      </c>
      <c r="K12" s="13">
        <f>COUNTIFS('Test Cases'!$C$2:$C$192,$A12,'Test Cases'!$L$2:$L$192,"Automated")+COUNTIFS('Test Cases'!$C$2:$C$192,$A12,'Test Cases'!$L$2:$L$192,"Partial")</f>
        <v/>
      </c>
      <c r="L12" s="13">
        <f>COUNTIFS('Test Cases'!$C$2:$C$192,$A12,'Test Cases'!$L$2:$L$192,"Planned")</f>
        <v/>
      </c>
      <c r="M12" s="20">
        <f>SUMIFS('Test Cases'!$R$2:$R$192,'Test Cases'!$C$2:$C$192,$A12)</f>
        <v/>
      </c>
    </row>
    <row r="13">
      <c r="A13" s="12" t="inlineStr">
        <is>
          <t>9. Account &amp; order history</t>
        </is>
      </c>
      <c r="B13" s="13">
        <f>COUNTIF('Test Cases'!$C$2:$C$192,$A13)</f>
        <v/>
      </c>
      <c r="C13" s="13">
        <f>COUNTIFS('Test Cases'!$C$2:$C$192,$A13,'Test Cases'!$T$2:$T$192,"Not Run")</f>
        <v/>
      </c>
      <c r="D13" s="13">
        <f>COUNTIFS('Test Cases'!$C$2:$C$192,$A13,'Test Cases'!$T$2:$T$192,"Pass")</f>
        <v/>
      </c>
      <c r="E13" s="13">
        <f>COUNTIFS('Test Cases'!$C$2:$C$192,$A13,'Test Cases'!$T$2:$T$192,"Fail")</f>
        <v/>
      </c>
      <c r="F13" s="13">
        <f>COUNTIFS('Test Cases'!$C$2:$C$192,$A13,'Test Cases'!$T$2:$T$192,"Blocked")</f>
        <v/>
      </c>
      <c r="G13" s="13">
        <f>COUNTIFS('Test Cases'!$C$2:$C$192,$A13,'Test Cases'!$T$2:$T$192,"Partial")</f>
        <v/>
      </c>
      <c r="H13" s="13">
        <f>COUNTIFS('Test Cases'!$C$2:$C$192,$A13,'Test Cases'!$T$2:$T$192,"N/A")</f>
        <v/>
      </c>
      <c r="I13" s="19">
        <f>IFERROR(($B13-$C13-$H13)/($B13-$H13),0)</f>
        <v/>
      </c>
      <c r="J13" s="19">
        <f>IFERROR($D13/($B13-$C13-$H13),0)</f>
        <v/>
      </c>
      <c r="K13" s="13">
        <f>COUNTIFS('Test Cases'!$C$2:$C$192,$A13,'Test Cases'!$L$2:$L$192,"Automated")+COUNTIFS('Test Cases'!$C$2:$C$192,$A13,'Test Cases'!$L$2:$L$192,"Partial")</f>
        <v/>
      </c>
      <c r="L13" s="13">
        <f>COUNTIFS('Test Cases'!$C$2:$C$192,$A13,'Test Cases'!$L$2:$L$192,"Planned")</f>
        <v/>
      </c>
      <c r="M13" s="20">
        <f>SUMIFS('Test Cases'!$R$2:$R$192,'Test Cases'!$C$2:$C$192,$A13)</f>
        <v/>
      </c>
    </row>
    <row r="14">
      <c r="A14" s="12" t="inlineStr">
        <is>
          <t>10. Inquiry &amp; validation</t>
        </is>
      </c>
      <c r="B14" s="13">
        <f>COUNTIF('Test Cases'!$C$2:$C$192,$A14)</f>
        <v/>
      </c>
      <c r="C14" s="13">
        <f>COUNTIFS('Test Cases'!$C$2:$C$192,$A14,'Test Cases'!$T$2:$T$192,"Not Run")</f>
        <v/>
      </c>
      <c r="D14" s="13">
        <f>COUNTIFS('Test Cases'!$C$2:$C$192,$A14,'Test Cases'!$T$2:$T$192,"Pass")</f>
        <v/>
      </c>
      <c r="E14" s="13">
        <f>COUNTIFS('Test Cases'!$C$2:$C$192,$A14,'Test Cases'!$T$2:$T$192,"Fail")</f>
        <v/>
      </c>
      <c r="F14" s="13">
        <f>COUNTIFS('Test Cases'!$C$2:$C$192,$A14,'Test Cases'!$T$2:$T$192,"Blocked")</f>
        <v/>
      </c>
      <c r="G14" s="13">
        <f>COUNTIFS('Test Cases'!$C$2:$C$192,$A14,'Test Cases'!$T$2:$T$192,"Partial")</f>
        <v/>
      </c>
      <c r="H14" s="13">
        <f>COUNTIFS('Test Cases'!$C$2:$C$192,$A14,'Test Cases'!$T$2:$T$192,"N/A")</f>
        <v/>
      </c>
      <c r="I14" s="19">
        <f>IFERROR(($B14-$C14-$H14)/($B14-$H14),0)</f>
        <v/>
      </c>
      <c r="J14" s="19">
        <f>IFERROR($D14/($B14-$C14-$H14),0)</f>
        <v/>
      </c>
      <c r="K14" s="13">
        <f>COUNTIFS('Test Cases'!$C$2:$C$192,$A14,'Test Cases'!$L$2:$L$192,"Automated")+COUNTIFS('Test Cases'!$C$2:$C$192,$A14,'Test Cases'!$L$2:$L$192,"Partial")</f>
        <v/>
      </c>
      <c r="L14" s="13">
        <f>COUNTIFS('Test Cases'!$C$2:$C$192,$A14,'Test Cases'!$L$2:$L$192,"Planned")</f>
        <v/>
      </c>
      <c r="M14" s="20">
        <f>SUMIFS('Test Cases'!$R$2:$R$192,'Test Cases'!$C$2:$C$192,$A14)</f>
        <v/>
      </c>
    </row>
    <row r="15">
      <c r="A15" s="12" t="inlineStr">
        <is>
          <t>11. Public API</t>
        </is>
      </c>
      <c r="B15" s="13">
        <f>COUNTIF('Test Cases'!$C$2:$C$192,$A15)</f>
        <v/>
      </c>
      <c r="C15" s="13">
        <f>COUNTIFS('Test Cases'!$C$2:$C$192,$A15,'Test Cases'!$T$2:$T$192,"Not Run")</f>
        <v/>
      </c>
      <c r="D15" s="13">
        <f>COUNTIFS('Test Cases'!$C$2:$C$192,$A15,'Test Cases'!$T$2:$T$192,"Pass")</f>
        <v/>
      </c>
      <c r="E15" s="13">
        <f>COUNTIFS('Test Cases'!$C$2:$C$192,$A15,'Test Cases'!$T$2:$T$192,"Fail")</f>
        <v/>
      </c>
      <c r="F15" s="13">
        <f>COUNTIFS('Test Cases'!$C$2:$C$192,$A15,'Test Cases'!$T$2:$T$192,"Blocked")</f>
        <v/>
      </c>
      <c r="G15" s="13">
        <f>COUNTIFS('Test Cases'!$C$2:$C$192,$A15,'Test Cases'!$T$2:$T$192,"Partial")</f>
        <v/>
      </c>
      <c r="H15" s="13">
        <f>COUNTIFS('Test Cases'!$C$2:$C$192,$A15,'Test Cases'!$T$2:$T$192,"N/A")</f>
        <v/>
      </c>
      <c r="I15" s="19">
        <f>IFERROR(($B15-$C15-$H15)/($B15-$H15),0)</f>
        <v/>
      </c>
      <c r="J15" s="19">
        <f>IFERROR($D15/($B15-$C15-$H15),0)</f>
        <v/>
      </c>
      <c r="K15" s="13">
        <f>COUNTIFS('Test Cases'!$C$2:$C$192,$A15,'Test Cases'!$L$2:$L$192,"Automated")+COUNTIFS('Test Cases'!$C$2:$C$192,$A15,'Test Cases'!$L$2:$L$192,"Partial")</f>
        <v/>
      </c>
      <c r="L15" s="13">
        <f>COUNTIFS('Test Cases'!$C$2:$C$192,$A15,'Test Cases'!$L$2:$L$192,"Planned")</f>
        <v/>
      </c>
      <c r="M15" s="20">
        <f>SUMIFS('Test Cases'!$R$2:$R$192,'Test Cases'!$C$2:$C$192,$A15)</f>
        <v/>
      </c>
    </row>
    <row r="16">
      <c r="A16" s="12" t="inlineStr">
        <is>
          <t>12. Accessibility, visual &amp; errors</t>
        </is>
      </c>
      <c r="B16" s="13">
        <f>COUNTIF('Test Cases'!$C$2:$C$192,$A16)</f>
        <v/>
      </c>
      <c r="C16" s="13">
        <f>COUNTIFS('Test Cases'!$C$2:$C$192,$A16,'Test Cases'!$T$2:$T$192,"Not Run")</f>
        <v/>
      </c>
      <c r="D16" s="13">
        <f>COUNTIFS('Test Cases'!$C$2:$C$192,$A16,'Test Cases'!$T$2:$T$192,"Pass")</f>
        <v/>
      </c>
      <c r="E16" s="13">
        <f>COUNTIFS('Test Cases'!$C$2:$C$192,$A16,'Test Cases'!$T$2:$T$192,"Fail")</f>
        <v/>
      </c>
      <c r="F16" s="13">
        <f>COUNTIFS('Test Cases'!$C$2:$C$192,$A16,'Test Cases'!$T$2:$T$192,"Blocked")</f>
        <v/>
      </c>
      <c r="G16" s="13">
        <f>COUNTIFS('Test Cases'!$C$2:$C$192,$A16,'Test Cases'!$T$2:$T$192,"Partial")</f>
        <v/>
      </c>
      <c r="H16" s="13">
        <f>COUNTIFS('Test Cases'!$C$2:$C$192,$A16,'Test Cases'!$T$2:$T$192,"N/A")</f>
        <v/>
      </c>
      <c r="I16" s="19">
        <f>IFERROR(($B16-$C16-$H16)/($B16-$H16),0)</f>
        <v/>
      </c>
      <c r="J16" s="19">
        <f>IFERROR($D16/($B16-$C16-$H16),0)</f>
        <v/>
      </c>
      <c r="K16" s="13">
        <f>COUNTIFS('Test Cases'!$C$2:$C$192,$A16,'Test Cases'!$L$2:$L$192,"Automated")+COUNTIFS('Test Cases'!$C$2:$C$192,$A16,'Test Cases'!$L$2:$L$192,"Partial")</f>
        <v/>
      </c>
      <c r="L16" s="13">
        <f>COUNTIFS('Test Cases'!$C$2:$C$192,$A16,'Test Cases'!$L$2:$L$192,"Planned")</f>
        <v/>
      </c>
      <c r="M16" s="20">
        <f>SUMIFS('Test Cases'!$R$2:$R$192,'Test Cases'!$C$2:$C$192,$A16)</f>
        <v/>
      </c>
    </row>
    <row r="17">
      <c r="A17" s="12" t="inlineStr">
        <is>
          <t>13. Suite safety &amp; resilience</t>
        </is>
      </c>
      <c r="B17" s="13">
        <f>COUNTIF('Test Cases'!$C$2:$C$192,$A17)</f>
        <v/>
      </c>
      <c r="C17" s="13">
        <f>COUNTIFS('Test Cases'!$C$2:$C$192,$A17,'Test Cases'!$T$2:$T$192,"Not Run")</f>
        <v/>
      </c>
      <c r="D17" s="13">
        <f>COUNTIFS('Test Cases'!$C$2:$C$192,$A17,'Test Cases'!$T$2:$T$192,"Pass")</f>
        <v/>
      </c>
      <c r="E17" s="13">
        <f>COUNTIFS('Test Cases'!$C$2:$C$192,$A17,'Test Cases'!$T$2:$T$192,"Fail")</f>
        <v/>
      </c>
      <c r="F17" s="13">
        <f>COUNTIFS('Test Cases'!$C$2:$C$192,$A17,'Test Cases'!$T$2:$T$192,"Blocked")</f>
        <v/>
      </c>
      <c r="G17" s="13">
        <f>COUNTIFS('Test Cases'!$C$2:$C$192,$A17,'Test Cases'!$T$2:$T$192,"Partial")</f>
        <v/>
      </c>
      <c r="H17" s="13">
        <f>COUNTIFS('Test Cases'!$C$2:$C$192,$A17,'Test Cases'!$T$2:$T$192,"N/A")</f>
        <v/>
      </c>
      <c r="I17" s="19">
        <f>IFERROR(($B17-$C17-$H17)/($B17-$H17),0)</f>
        <v/>
      </c>
      <c r="J17" s="19">
        <f>IFERROR($D17/($B17-$C17-$H17),0)</f>
        <v/>
      </c>
      <c r="K17" s="13">
        <f>COUNTIFS('Test Cases'!$C$2:$C$192,$A17,'Test Cases'!$L$2:$L$192,"Automated")+COUNTIFS('Test Cases'!$C$2:$C$192,$A17,'Test Cases'!$L$2:$L$192,"Partial")</f>
        <v/>
      </c>
      <c r="L17" s="13">
        <f>COUNTIFS('Test Cases'!$C$2:$C$192,$A17,'Test Cases'!$L$2:$L$192,"Planned")</f>
        <v/>
      </c>
      <c r="M17" s="20">
        <f>SUMIFS('Test Cases'!$R$2:$R$192,'Test Cases'!$C$2:$C$192,$A17)</f>
        <v/>
      </c>
    </row>
    <row r="18">
      <c r="A18" s="12" t="inlineStr">
        <is>
          <t>14. Admin - order processing</t>
        </is>
      </c>
      <c r="B18" s="13">
        <f>COUNTIF('Test Cases'!$C$2:$C$192,$A18)</f>
        <v/>
      </c>
      <c r="C18" s="13">
        <f>COUNTIFS('Test Cases'!$C$2:$C$192,$A18,'Test Cases'!$T$2:$T$192,"Not Run")</f>
        <v/>
      </c>
      <c r="D18" s="13">
        <f>COUNTIFS('Test Cases'!$C$2:$C$192,$A18,'Test Cases'!$T$2:$T$192,"Pass")</f>
        <v/>
      </c>
      <c r="E18" s="13">
        <f>COUNTIFS('Test Cases'!$C$2:$C$192,$A18,'Test Cases'!$T$2:$T$192,"Fail")</f>
        <v/>
      </c>
      <c r="F18" s="13">
        <f>COUNTIFS('Test Cases'!$C$2:$C$192,$A18,'Test Cases'!$T$2:$T$192,"Blocked")</f>
        <v/>
      </c>
      <c r="G18" s="13">
        <f>COUNTIFS('Test Cases'!$C$2:$C$192,$A18,'Test Cases'!$T$2:$T$192,"Partial")</f>
        <v/>
      </c>
      <c r="H18" s="13">
        <f>COUNTIFS('Test Cases'!$C$2:$C$192,$A18,'Test Cases'!$T$2:$T$192,"N/A")</f>
        <v/>
      </c>
      <c r="I18" s="19">
        <f>IFERROR(($B18-$C18-$H18)/($B18-$H18),0)</f>
        <v/>
      </c>
      <c r="J18" s="19">
        <f>IFERROR($D18/($B18-$C18-$H18),0)</f>
        <v/>
      </c>
      <c r="K18" s="13">
        <f>COUNTIFS('Test Cases'!$C$2:$C$192,$A18,'Test Cases'!$L$2:$L$192,"Automated")+COUNTIFS('Test Cases'!$C$2:$C$192,$A18,'Test Cases'!$L$2:$L$192,"Partial")</f>
        <v/>
      </c>
      <c r="L18" s="13">
        <f>COUNTIFS('Test Cases'!$C$2:$C$192,$A18,'Test Cases'!$L$2:$L$192,"Planned")</f>
        <v/>
      </c>
      <c r="M18" s="20">
        <f>SUMIFS('Test Cases'!$R$2:$R$192,'Test Cases'!$C$2:$C$192,$A18)</f>
        <v/>
      </c>
    </row>
    <row r="19">
      <c r="A19" s="12" t="inlineStr">
        <is>
          <t>15. Admin - access &amp; order management</t>
        </is>
      </c>
      <c r="B19" s="13">
        <f>COUNTIF('Test Cases'!$C$2:$C$192,$A19)</f>
        <v/>
      </c>
      <c r="C19" s="13">
        <f>COUNTIFS('Test Cases'!$C$2:$C$192,$A19,'Test Cases'!$T$2:$T$192,"Not Run")</f>
        <v/>
      </c>
      <c r="D19" s="13">
        <f>COUNTIFS('Test Cases'!$C$2:$C$192,$A19,'Test Cases'!$T$2:$T$192,"Pass")</f>
        <v/>
      </c>
      <c r="E19" s="13">
        <f>COUNTIFS('Test Cases'!$C$2:$C$192,$A19,'Test Cases'!$T$2:$T$192,"Fail")</f>
        <v/>
      </c>
      <c r="F19" s="13">
        <f>COUNTIFS('Test Cases'!$C$2:$C$192,$A19,'Test Cases'!$T$2:$T$192,"Blocked")</f>
        <v/>
      </c>
      <c r="G19" s="13">
        <f>COUNTIFS('Test Cases'!$C$2:$C$192,$A19,'Test Cases'!$T$2:$T$192,"Partial")</f>
        <v/>
      </c>
      <c r="H19" s="13">
        <f>COUNTIFS('Test Cases'!$C$2:$C$192,$A19,'Test Cases'!$T$2:$T$192,"N/A")</f>
        <v/>
      </c>
      <c r="I19" s="19">
        <f>IFERROR(($B19-$C19-$H19)/($B19-$H19),0)</f>
        <v/>
      </c>
      <c r="J19" s="19">
        <f>IFERROR($D19/($B19-$C19-$H19),0)</f>
        <v/>
      </c>
      <c r="K19" s="13">
        <f>COUNTIFS('Test Cases'!$C$2:$C$192,$A19,'Test Cases'!$L$2:$L$192,"Automated")+COUNTIFS('Test Cases'!$C$2:$C$192,$A19,'Test Cases'!$L$2:$L$192,"Partial")</f>
        <v/>
      </c>
      <c r="L19" s="13">
        <f>COUNTIFS('Test Cases'!$C$2:$C$192,$A19,'Test Cases'!$L$2:$L$192,"Planned")</f>
        <v/>
      </c>
      <c r="M19" s="20">
        <f>SUMIFS('Test Cases'!$R$2:$R$192,'Test Cases'!$C$2:$C$192,$A19)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Cases'!$B$2:$B$192,$A24)</f>
        <v/>
      </c>
      <c r="C24" s="13">
        <f>COUNTIFS('Test Cases'!$B$2:$B$192,$A24,'Test Cases'!$T$2:$T$192,"Not Run")</f>
        <v/>
      </c>
      <c r="D24" s="13">
        <f>COUNTIFS('Test Cases'!$B$2:$B$192,$A24,'Test Cases'!$T$2:$T$192,"Pass")</f>
        <v/>
      </c>
      <c r="E24" s="13">
        <f>COUNTIFS('Test Cases'!$B$2:$B$192,$A24,'Test Cases'!$T$2:$T$192,"Fail")</f>
        <v/>
      </c>
      <c r="F24" s="13">
        <f>COUNTIFS('Test Cases'!$B$2:$B$192,$A24,'Test Cases'!$T$2:$T$192,"Blocked")</f>
        <v/>
      </c>
      <c r="G24" s="13">
        <f>COUNTIFS('Test Cases'!$B$2:$B$192,$A24,'Test Cases'!$T$2:$T$192,"Partial")</f>
        <v/>
      </c>
      <c r="H24" s="13">
        <f>COUNTIFS('Test Cases'!$B$2:$B$192,$A24,'Test Cases'!$T$2:$T$192,"N/A")</f>
        <v/>
      </c>
      <c r="I24" s="19">
        <f>IFERROR(($B24-$C24-$H24)/($B24-$H24),0)</f>
        <v/>
      </c>
      <c r="J24" s="19">
        <f>IFERROR($D24/($B24-$C24-$H24),0)</f>
        <v/>
      </c>
      <c r="K24" s="13">
        <f>COUNTIFS('Test Cases'!$B$2:$B$192,$A24,'Test Cases'!$L$2:$L$192,"Automated")+COUNTIFS('Test Cases'!$B$2:$B$192,$A24,'Test Cases'!$L$2:$L$192,"Partial")</f>
        <v/>
      </c>
      <c r="L24" s="13">
        <f>COUNTIFS('Test Cases'!$B$2:$B$192,$A24,'Test Cases'!$L$2:$L$192,"Planned")</f>
        <v/>
      </c>
      <c r="M24" s="20">
        <f>SUMIFS('Test Cases'!$R$2:$R$192,'Test Cases'!$B$2:$B$192,$A24)</f>
        <v/>
      </c>
    </row>
    <row r="25">
      <c r="A25" s="12" t="inlineStr">
        <is>
          <t>Storefront + Admin</t>
        </is>
      </c>
      <c r="B25" s="13">
        <f>COUNTIF('Test Cases'!$B$2:$B$192,$A25)</f>
        <v/>
      </c>
      <c r="C25" s="13">
        <f>COUNTIFS('Test Cases'!$B$2:$B$192,$A25,'Test Cases'!$T$2:$T$192,"Not Run")</f>
        <v/>
      </c>
      <c r="D25" s="13">
        <f>COUNTIFS('Test Cases'!$B$2:$B$192,$A25,'Test Cases'!$T$2:$T$192,"Pass")</f>
        <v/>
      </c>
      <c r="E25" s="13">
        <f>COUNTIFS('Test Cases'!$B$2:$B$192,$A25,'Test Cases'!$T$2:$T$192,"Fail")</f>
        <v/>
      </c>
      <c r="F25" s="13">
        <f>COUNTIFS('Test Cases'!$B$2:$B$192,$A25,'Test Cases'!$T$2:$T$192,"Blocked")</f>
        <v/>
      </c>
      <c r="G25" s="13">
        <f>COUNTIFS('Test Cases'!$B$2:$B$192,$A25,'Test Cases'!$T$2:$T$192,"Partial")</f>
        <v/>
      </c>
      <c r="H25" s="13">
        <f>COUNTIFS('Test Cases'!$B$2:$B$192,$A25,'Test Cases'!$T$2:$T$192,"N/A")</f>
        <v/>
      </c>
      <c r="I25" s="19">
        <f>IFERROR(($B25-$C25-$H25)/($B25-$H25),0)</f>
        <v/>
      </c>
      <c r="J25" s="19">
        <f>IFERROR($D25/($B25-$C25-$H25),0)</f>
        <v/>
      </c>
      <c r="K25" s="13">
        <f>COUNTIFS('Test Cases'!$B$2:$B$192,$A25,'Test Cases'!$L$2:$L$192,"Automated")+COUNTIFS('Test Cases'!$B$2:$B$192,$A25,'Test Cases'!$L$2:$L$192,"Partial")</f>
        <v/>
      </c>
      <c r="L25" s="13">
        <f>COUNTIFS('Test Cases'!$B$2:$B$192,$A25,'Test Cases'!$L$2:$L$192,"Planned")</f>
        <v/>
      </c>
      <c r="M25" s="20">
        <f>SUMIFS('Test Cases'!$R$2:$R$192,'Test Cases'!$B$2:$B$192,$A25)</f>
        <v/>
      </c>
    </row>
    <row r="26">
      <c r="A26" s="12" t="inlineStr">
        <is>
          <t>Admin</t>
        </is>
      </c>
      <c r="B26" s="13">
        <f>COUNTIF('Test Cases'!$B$2:$B$192,$A26)</f>
        <v/>
      </c>
      <c r="C26" s="13">
        <f>COUNTIFS('Test Cases'!$B$2:$B$192,$A26,'Test Cases'!$T$2:$T$192,"Not Run")</f>
        <v/>
      </c>
      <c r="D26" s="13">
        <f>COUNTIFS('Test Cases'!$B$2:$B$192,$A26,'Test Cases'!$T$2:$T$192,"Pass")</f>
        <v/>
      </c>
      <c r="E26" s="13">
        <f>COUNTIFS('Test Cases'!$B$2:$B$192,$A26,'Test Cases'!$T$2:$T$192,"Fail")</f>
        <v/>
      </c>
      <c r="F26" s="13">
        <f>COUNTIFS('Test Cases'!$B$2:$B$192,$A26,'Test Cases'!$T$2:$T$192,"Blocked")</f>
        <v/>
      </c>
      <c r="G26" s="13">
        <f>COUNTIFS('Test Cases'!$B$2:$B$192,$A26,'Test Cases'!$T$2:$T$192,"Partial")</f>
        <v/>
      </c>
      <c r="H26" s="13">
        <f>COUNTIFS('Test Cases'!$B$2:$B$192,$A26,'Test Cases'!$T$2:$T$192,"N/A")</f>
        <v/>
      </c>
      <c r="I26" s="19">
        <f>IFERROR(($B26-$C26-$H26)/($B26-$H26),0)</f>
        <v/>
      </c>
      <c r="J26" s="19">
        <f>IFERROR($D26/($B26-$C26-$H26),0)</f>
        <v/>
      </c>
      <c r="K26" s="13">
        <f>COUNTIFS('Test Cases'!$B$2:$B$192,$A26,'Test Cases'!$L$2:$L$192,"Automated")+COUNTIFS('Test Cases'!$B$2:$B$192,$A26,'Test Cases'!$L$2:$L$192,"Partial")</f>
        <v/>
      </c>
      <c r="L26" s="13">
        <f>COUNTIFS('Test Cases'!$B$2:$B$192,$A26,'Test Cases'!$L$2:$L$192,"Planned")</f>
        <v/>
      </c>
      <c r="M26" s="20">
        <f>SUMIFS('Test Cases'!$R$2:$R$192,'Test Cases'!$B$2:$B$192,$A26)</f>
        <v/>
      </c>
    </row>
    <row r="27">
      <c r="A27" s="12" t="inlineStr">
        <is>
          <t>Suite</t>
        </is>
      </c>
      <c r="B27" s="13">
        <f>COUNTIF('Test Cases'!$B$2:$B$192,$A27)</f>
        <v/>
      </c>
      <c r="C27" s="13">
        <f>COUNTIFS('Test Cases'!$B$2:$B$192,$A27,'Test Cases'!$T$2:$T$192,"Not Run")</f>
        <v/>
      </c>
      <c r="D27" s="13">
        <f>COUNTIFS('Test Cases'!$B$2:$B$192,$A27,'Test Cases'!$T$2:$T$192,"Pass")</f>
        <v/>
      </c>
      <c r="E27" s="13">
        <f>COUNTIFS('Test Cases'!$B$2:$B$192,$A27,'Test Cases'!$T$2:$T$192,"Fail")</f>
        <v/>
      </c>
      <c r="F27" s="13">
        <f>COUNTIFS('Test Cases'!$B$2:$B$192,$A27,'Test Cases'!$T$2:$T$192,"Blocked")</f>
        <v/>
      </c>
      <c r="G27" s="13">
        <f>COUNTIFS('Test Cases'!$B$2:$B$192,$A27,'Test Cases'!$T$2:$T$192,"Partial")</f>
        <v/>
      </c>
      <c r="H27" s="13">
        <f>COUNTIFS('Test Cases'!$B$2:$B$192,$A27,'Test Cases'!$T$2:$T$192,"N/A")</f>
        <v/>
      </c>
      <c r="I27" s="19">
        <f>IFERROR(($B27-$C27-$H27)/($B27-$H27),0)</f>
        <v/>
      </c>
      <c r="J27" s="19">
        <f>IFERROR($D27/($B27-$C27-$H27),0)</f>
        <v/>
      </c>
      <c r="K27" s="13">
        <f>COUNTIFS('Test Cases'!$B$2:$B$192,$A27,'Test Cases'!$L$2:$L$192,"Automated")+COUNTIFS('Test Cases'!$B$2:$B$192,$A27,'Test Cases'!$L$2:$L$192,"Partial")</f>
        <v/>
      </c>
      <c r="L27" s="13">
        <f>COUNTIFS('Test Cases'!$B$2:$B$192,$A27,'Test Cases'!$L$2:$L$192,"Planned")</f>
        <v/>
      </c>
      <c r="M27" s="20">
        <f>SUMIFS('Test Cases'!$R$2:$R$192,'Test Cases'!$B$2:$B$192,$A27)</f>
        <v/>
      </c>
    </row>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Cases'!$F$2:$F$192,$A31)</f>
        <v/>
      </c>
      <c r="C31" s="13">
        <f>COUNTIFS('Test Cases'!$F$2:$F$192,$A31,'Test Cases'!$T$2:$T$192,"Not Run")</f>
        <v/>
      </c>
      <c r="D31" s="13">
        <f>COUNTIFS('Test Cases'!$F$2:$F$192,$A31,'Test Cases'!$T$2:$T$192,"Pass")</f>
        <v/>
      </c>
      <c r="E31" s="13">
        <f>COUNTIFS('Test Cases'!$F$2:$F$192,$A31,'Test Cases'!$T$2:$T$192,"Fail")</f>
        <v/>
      </c>
      <c r="F31" s="13">
        <f>COUNTIFS('Test Cases'!$F$2:$F$192,$A31,'Test Cases'!$T$2:$T$192,"Blocked")</f>
        <v/>
      </c>
      <c r="G31" s="19">
        <f>IFERROR(($B31-$C31-COUNTIFS('Test Cases'!$F$2:$F$192,$A31,'Test Cases'!$T$2:$T$192,"N/A"))/($B31-COUNTIFS('Test Cases'!$F$2:$F$192,$A31,'Test Cases'!$T$2:$T$192,"N/A")),0)</f>
        <v/>
      </c>
      <c r="H31" s="25" t="inlineStr">
        <is>
          <t>100% executed, zero open defects</t>
        </is>
      </c>
      <c r="I31" s="26" t="n"/>
      <c r="J31" s="26" t="n"/>
      <c r="K31" s="26" t="n"/>
      <c r="L31" s="26" t="n"/>
      <c r="M31" s="27" t="n"/>
    </row>
    <row r="32">
      <c r="A32" s="12" t="inlineStr">
        <is>
          <t>High</t>
        </is>
      </c>
      <c r="B32" s="13">
        <f>COUNTIF('Test Cases'!$F$2:$F$192,$A32)</f>
        <v/>
      </c>
      <c r="C32" s="13">
        <f>COUNTIFS('Test Cases'!$F$2:$F$192,$A32,'Test Cases'!$T$2:$T$192,"Not Run")</f>
        <v/>
      </c>
      <c r="D32" s="13">
        <f>COUNTIFS('Test Cases'!$F$2:$F$192,$A32,'Test Cases'!$T$2:$T$192,"Pass")</f>
        <v/>
      </c>
      <c r="E32" s="13">
        <f>COUNTIFS('Test Cases'!$F$2:$F$192,$A32,'Test Cases'!$T$2:$T$192,"Fail")</f>
        <v/>
      </c>
      <c r="F32" s="13">
        <f>COUNTIFS('Test Cases'!$F$2:$F$192,$A32,'Test Cases'!$T$2:$T$192,"Blocked")</f>
        <v/>
      </c>
      <c r="G32" s="19">
        <f>IFERROR(($B32-$C32-COUNTIFS('Test Cases'!$F$2:$F$192,$A32,'Test Cases'!$T$2:$T$192,"N/A"))/($B32-COUNTIFS('Test Cases'!$F$2:$F$192,$A32,'Test Cases'!$T$2:$T$192,"N/A")),0)</f>
        <v/>
      </c>
      <c r="H32" s="25" t="inlineStr">
        <is>
          <t>100% executed, zero open or each accepted in writing</t>
        </is>
      </c>
      <c r="I32" s="26" t="n"/>
      <c r="J32" s="26" t="n"/>
      <c r="K32" s="26" t="n"/>
      <c r="L32" s="26" t="n"/>
      <c r="M32" s="27" t="n"/>
    </row>
    <row r="33">
      <c r="A33" s="12" t="inlineStr">
        <is>
          <t>Medium</t>
        </is>
      </c>
      <c r="B33" s="13">
        <f>COUNTIF('Test Cases'!$F$2:$F$192,$A33)</f>
        <v/>
      </c>
      <c r="C33" s="13">
        <f>COUNTIFS('Test Cases'!$F$2:$F$192,$A33,'Test Cases'!$T$2:$T$192,"Not Run")</f>
        <v/>
      </c>
      <c r="D33" s="13">
        <f>COUNTIFS('Test Cases'!$F$2:$F$192,$A33,'Test Cases'!$T$2:$T$192,"Pass")</f>
        <v/>
      </c>
      <c r="E33" s="13">
        <f>COUNTIFS('Test Cases'!$F$2:$F$192,$A33,'Test Cases'!$T$2:$T$192,"Fail")</f>
        <v/>
      </c>
      <c r="F33" s="13">
        <f>COUNTIFS('Test Cases'!$F$2:$F$192,$A33,'Test Cases'!$T$2:$T$192,"Blocked")</f>
        <v/>
      </c>
      <c r="G33" s="19">
        <f>IFERROR(($B33-$C33-COUNTIFS('Test Cases'!$F$2:$F$192,$A33,'Test Cases'!$T$2:$T$192,"N/A"))/($B33-COUNTIFS('Test Cases'!$F$2:$F$192,$A33,'Test Cases'!$T$2:$T$192,"N/A")),0)</f>
        <v/>
      </c>
      <c r="H33" s="25" t="inlineStr">
        <is>
          <t>95%+ executed</t>
        </is>
      </c>
      <c r="I33" s="26" t="n"/>
      <c r="J33" s="26" t="n"/>
      <c r="K33" s="26" t="n"/>
      <c r="L33" s="26" t="n"/>
      <c r="M33" s="27" t="n"/>
    </row>
    <row r="34">
      <c r="A34" s="12" t="inlineStr">
        <is>
          <t>Low</t>
        </is>
      </c>
      <c r="B34" s="13">
        <f>COUNTIF('Test Cases'!$F$2:$F$192,$A34)</f>
        <v/>
      </c>
      <c r="C34" s="13">
        <f>COUNTIFS('Test Cases'!$F$2:$F$192,$A34,'Test Cases'!$T$2:$T$192,"Not Run")</f>
        <v/>
      </c>
      <c r="D34" s="13">
        <f>COUNTIFS('Test Cases'!$F$2:$F$192,$A34,'Test Cases'!$T$2:$T$192,"Pass")</f>
        <v/>
      </c>
      <c r="E34" s="13">
        <f>COUNTIFS('Test Cases'!$F$2:$F$192,$A34,'Test Cases'!$T$2:$T$192,"Fail")</f>
        <v/>
      </c>
      <c r="F34" s="13">
        <f>COUNTIFS('Test Cases'!$F$2:$F$192,$A34,'Test Cases'!$T$2:$T$192,"Blocked")</f>
        <v/>
      </c>
      <c r="G34" s="19">
        <f>IFERROR(($B34-$C34-COUNTIFS('Test Cases'!$F$2:$F$192,$A34,'Test Cases'!$T$2:$T$192,"N/A"))/($B34-COUNTIFS('Test Cases'!$F$2:$F$192,$A34,'Test Cases'!$T$2:$T$192,"N/A")),0)</f>
        <v/>
      </c>
      <c r="H34" s="25" t="inlineStr">
        <is>
          <t>95%+ executed</t>
        </is>
      </c>
      <c r="I34" s="26" t="n"/>
      <c r="J34" s="26" t="n"/>
      <c r="K34" s="26" t="n"/>
      <c r="L34" s="26" t="n"/>
      <c r="M34" s="27" t="n"/>
    </row>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Cases'!$F$2:$F$192,"Critical",'Test Cases'!$T$2:$T$192,"Not Run")=0,"YES","NO - "&amp;COUNTIFS('Test Cases'!$F$2:$F$192,"Critical",'Test Cases'!$T$2:$T$192,"Not Run")&amp;" not run")</f>
        <v/>
      </c>
      <c r="C37" s="26" t="n"/>
      <c r="D37" s="26" t="n"/>
      <c r="E37" s="27" t="n"/>
    </row>
    <row r="38">
      <c r="A38" s="12" t="inlineStr">
        <is>
          <t>Zero Critical failures</t>
        </is>
      </c>
      <c r="B38" s="25">
        <f>IF(COUNTIFS('Test Cases'!$F$2:$F$192,"Critical",'Test Cases'!$T$2:$T$192,"Fail")=0,"YES","NO - "&amp;COUNTIFS('Test Cases'!$F$2:$F$192,"Critical",'Test Cases'!$T$2:$T$192,"Fail")&amp;" failed")</f>
        <v/>
      </c>
      <c r="C38" s="26" t="n"/>
      <c r="D38" s="26" t="n"/>
      <c r="E38" s="27" t="n"/>
    </row>
    <row r="39">
      <c r="A39" s="12" t="inlineStr">
        <is>
          <t>High cases fully executed</t>
        </is>
      </c>
      <c r="B39" s="25">
        <f>IF(COUNTIFS('Test Cases'!$F$2:$F$192,"High",'Test Cases'!$T$2:$T$192,"Not Run")=0,"YES","NO - "&amp;COUNTIFS('Test Cases'!$F$2:$F$192,"High",'Test Cases'!$T$2:$T$192,"Not Run")&amp;" not run")</f>
        <v/>
      </c>
      <c r="C39" s="26" t="n"/>
      <c r="D39" s="26" t="n"/>
      <c r="E39" s="27" t="n"/>
    </row>
    <row r="40">
      <c r="A40" s="12" t="inlineStr">
        <is>
          <t>Zero High failures</t>
        </is>
      </c>
      <c r="B40" s="25">
        <f>IF(COUNTIFS('Test Cases'!$F$2:$F$192,"High",'Test Cases'!$T$2:$T$192,"Fail")=0,"YES","NO - "&amp;COUNTIFS('Test Cases'!$F$2:$F$192,"High",'Test Cases'!$T$2:$T$192,"Fail")&amp;" failed")</f>
        <v/>
      </c>
      <c r="C40" s="26" t="n"/>
      <c r="D40" s="26" t="n"/>
      <c r="E40" s="27" t="n"/>
    </row>
    <row r="41">
      <c r="A41" s="12" t="inlineStr">
        <is>
          <t>Nothing left blocked</t>
        </is>
      </c>
      <c r="B41" s="25">
        <f>IF(COUNTIF('Test Cases'!$T$2:$T$192,"Blocked")=0,"YES","NO - "&amp;COUNTIF('Test Cases'!$T$2:$T$192,"Blocked")&amp;"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8"/>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MS-ADMA-006</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MS-ADMA-008</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MS-ADMO-016</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MS-ADMO-010</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MS-ADMO-003</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MS-ADMA-012</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MS-ADMA-013</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MS-ADMO-002</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MS-ACC-003</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MS-ADMO-015</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MS-ADMO-001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MS-ADMO-010</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MS-ADMO-001 run (automation)</t>
        </is>
      </c>
      <c r="O12" s="25" t="inlineStr">
        <is>
          <t>Open</t>
        </is>
      </c>
      <c r="P12" s="25" t="n"/>
      <c r="Q12" s="25" t="n"/>
      <c r="R12" s="25" t="inlineStr">
        <is>
          <t>Not Retested</t>
        </is>
      </c>
    </row>
    <row r="13" ht="120" customHeight="1">
      <c r="A13" s="12" t="inlineStr">
        <is>
          <t>MUS-QA-012</t>
        </is>
      </c>
      <c r="B13" s="25" t="inlineStr">
        <is>
          <t>2026-10-14</t>
        </is>
      </c>
      <c r="C13" s="25" t="inlineStr">
        <is>
          <t>MS-NAV-003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2026-10-23: still reproduced on production after hydration. Header and search-focus buttons expose layout.header.search as their accessible name.</t>
        </is>
      </c>
    </row>
    <row r="14" ht="120" customHeight="1">
      <c r="A14" s="12" t="inlineStr">
        <is>
          <t>MUS-QA-013</t>
        </is>
      </c>
      <c r="B14" s="25" t="inlineStr">
        <is>
          <t>2026-10-14</t>
        </is>
      </c>
      <c r="C14" s="25" t="inlineStr">
        <is>
          <t>MS-CFG-001</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MS-CFG-001</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MS-CFG-029</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MS-NAV-002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MS-CFG-001</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MS-CFG-027</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MS-UX-004</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3">
      <c r="A23" s="24" t="inlineStr">
        <is>
          <t>MUS-QA-001 to 009 were found by exploratory testing on 2026-09-25 while building the admin suite, MUS-QA-010 and 011 by the MS-ADMO-001 run on 2026-10-14, and MUS-QA-012 to 020 by storefront exploration the same day. Evidence gives order numbers and times so dev can find the records. Add new defects below; keep IDs sequential.</t>
        </is>
      </c>
    </row>
    <row r="24">
      <c r="A24" s="12" t="inlineStr">
        <is>
          <t>MUS-QA-021</t>
        </is>
      </c>
      <c r="B24" s="25" t="inlineStr">
        <is>
          <t>2026-10-23</t>
        </is>
      </c>
      <c r="C24" s="25" t="inlineStr">
        <is>
          <t>MS-DSC-008 / MS-DSC-010</t>
        </is>
      </c>
      <c r="D24" s="25" t="inlineStr">
        <is>
          <t>FAQ footer navigation/reload intermittently logs TypeError: Failed to fetch</t>
        </is>
      </c>
      <c r="E24" s="25" t="inlineStr">
        <is>
          <t>Medium</t>
        </is>
      </c>
      <c r="F24" s="25" t="inlineStr">
        <is>
          <t>P2</t>
        </is>
      </c>
      <c r="G24" s="25" t="inlineStr">
        <is>
          <t>Storefront</t>
        </is>
      </c>
      <c r="H24" s="25" t="inlineStr">
        <is>
          <t>production</t>
        </is>
      </c>
      <c r="I24" s="25" t="inlineStr">
        <is>
          <t>Anonymous Chromium session; no account or order changes.</t>
        </is>
      </c>
      <c r="J24" s="25" t="inlineStr">
        <is>
          <t>1. Open /kr.
2. Follow Order guide or Shipping guide from the footer.
3. Reload the FAQ destination.
4. Inspect browser console.</t>
        </is>
      </c>
      <c r="K24" s="25" t="inlineStr">
        <is>
          <t>The FAQ topic and answer render without unexpected browser console errors.</t>
        </is>
      </c>
      <c r="L24" s="25" t="inlineStr">
        <is>
          <t>Topic/answer checks pass, but the console error guard fails with TypeError: Failed to fetch. Seen on order/shipping in the 13-case run and shipping/refund in the initial exploration run.</t>
        </is>
      </c>
      <c r="M24" s="25" t="inlineStr">
        <is>
          <t>test-results/production-audit-final.json; .playwright-mcp/production-fetch-diagnostics.json; test-results/production-audit-final/</t>
        </is>
      </c>
      <c r="N24" s="25" t="inlineStr">
        <is>
          <t>Codex / Playwright</t>
        </is>
      </c>
      <c r="O24" s="25" t="inlineStr">
        <is>
          <t>Open</t>
        </is>
      </c>
      <c r="P24" s="25" t="n"/>
      <c r="Q24" s="25" t="n"/>
      <c r="R24" s="25" t="inlineStr">
        <is>
          <t>Not reproduced during a separate isolated browser diagnostic. Aborted analytics/media/API requests observed; the source of the console error is not established. Content navigation was successful.</t>
        </is>
      </c>
    </row>
    <row r="25" ht="110" customHeight="1">
      <c r="A25" s="12" t="inlineStr">
        <is>
          <t>MUS-QA-022</t>
        </is>
      </c>
      <c r="B25" s="25" t="inlineStr">
        <is>
          <t>2026-10-23</t>
        </is>
      </c>
      <c r="C25" s="25" t="inlineStr">
        <is>
          <t>MS-AUTH-005; MS-CHK-003; MS-NAV-006</t>
        </is>
      </c>
      <c r="D25" s="25" t="inlineStr">
        <is>
          <t>Repeated dev-2 navigation logs TypeError: Failed to fetch</t>
        </is>
      </c>
      <c r="E25" s="25" t="inlineStr">
        <is>
          <t>Medium</t>
        </is>
      </c>
      <c r="F25" s="25" t="inlineStr">
        <is>
          <t>P2</t>
        </is>
      </c>
      <c r="G25" s="25" t="inlineStr">
        <is>
          <t>Storefront / QA investigation</t>
        </is>
      </c>
      <c r="H25" s="25" t="inlineStr">
        <is>
          <t>dev-2 / Chromium</t>
        </is>
      </c>
      <c r="I25" s="25" t="inlineStr">
        <is>
          <t>Safe tests; console/HTTP guards active; retries=0.</t>
        </is>
      </c>
      <c r="J25" s="25" t="inlineStr">
        <is>
          <t>Run MS-AUTH-005: reject unregistered credentials, navigate to login again, reject a registered address with a wrong password. Inspect requestfailed and console events.</t>
        </is>
      </c>
      <c r="K25" s="25" t="inlineStr">
        <is>
          <t>Both rejections leave the visitor anonymous without unexpected browser errors.</t>
        </is>
      </c>
      <c r="L25" s="25" t="inlineStr">
        <is>
          <t>Login assertions pass; console fetch error occurred in full run and isolated replay. Original checkout/footer also logged the same text; a common cause is unconfirmed.</t>
        </is>
      </c>
      <c r="M25" s="25" t="inlineStr">
        <is>
          <t>test-results/dev-2-full.json; test-results/dev-2-triage.json; browser-diagnostics.json in allure-results/dev-2-triage/</t>
        </is>
      </c>
      <c r="N25" s="25" t="inlineStr">
        <is>
          <t>Codex / Playwright</t>
        </is>
      </c>
      <c r="O25" s="25" t="inlineStr">
        <is>
          <t>Open</t>
        </is>
      </c>
      <c r="P25" s="25" t="n"/>
      <c r="Q25" s="25" t="n"/>
      <c r="R25" s="25" t="inlineStr">
        <is>
          <t>Replay reproduced. Inquiry/types and sprite.svg GET requests aborted during navigation at the same time as the console error. Correlation does not establish root cause. Similar production symptom: MUS-QA-021.</t>
        </is>
      </c>
    </row>
    <row r="26" ht="110" customHeight="1">
      <c r="A26" s="12" t="inlineStr">
        <is>
          <t>MUS-QA-023</t>
        </is>
      </c>
      <c r="B26" s="25" t="inlineStr">
        <is>
          <t>2026-10-23</t>
        </is>
      </c>
      <c r="C26" s="25" t="inlineStr">
        <is>
          <t>MS-AUTH-002; MS-CFG-001; MS-NAV-001; MS-NAV-003; MS-NAV-004</t>
        </is>
      </c>
      <c r="D26" s="25" t="inlineStr">
        <is>
          <t>Firefox critical checks report Pretendard font metadata warnings and one font HTTP 502</t>
        </is>
      </c>
      <c r="E26" s="25" t="inlineStr">
        <is>
          <t>Medium</t>
        </is>
      </c>
      <c r="F26" s="25" t="inlineStr">
        <is>
          <t>P2</t>
        </is>
      </c>
      <c r="G26" s="25" t="inlineStr">
        <is>
          <t>Storefront / QA investigation</t>
        </is>
      </c>
      <c r="H26" s="25" t="inlineStr">
        <is>
          <t>dev-2 / Firefox</t>
        </is>
      </c>
      <c r="I26" s="25" t="inlineStr">
        <is>
          <t>Safe tests; console/HTTP guards active; retries=0.</t>
        </is>
      </c>
      <c r="J26" s="25" t="inlineStr">
        <is>
          <t>Run five critical UI tests with firefox-desktop; inspect font requests and console.</t>
        </is>
      </c>
      <c r="K26" s="25" t="inlineStr">
        <is>
          <t>First-party fonts load reliably without malformed metadata warnings or HTTP errors.</t>
        </is>
      </c>
      <c r="L26" s="25" t="inlineStr">
        <is>
          <t>All five cases fail on font name records not sorted warnings. Product case additionally reports /fonts/PretendardVariable.kr.woff2 HTTP 502, plus preload/WebGPU fallback warnings. Functional assertions completed.</t>
        </is>
      </c>
      <c r="M26" s="25" t="inlineStr">
        <is>
          <t>test-results/dev-2-browsers.json; test-results/dev-2-browsers/</t>
        </is>
      </c>
      <c r="N26" s="25" t="inlineStr">
        <is>
          <t>Codex / Playwright</t>
        </is>
      </c>
      <c r="O26" s="25" t="inlineStr">
        <is>
          <t>Open</t>
        </is>
      </c>
      <c r="P26" s="25" t="n"/>
      <c r="Q26" s="25" t="n"/>
      <c r="R26" s="25" t="inlineStr">
        <is>
          <t>Font metadata warning repeated across five cases. One font HTTP 502 observed; persistence and visible fallback impact need investigation. No warning/HTTP allowance added.</t>
        </is>
      </c>
    </row>
    <row r="27" ht="110" customHeight="1">
      <c r="A27" s="12" t="inlineStr">
        <is>
          <t>MUS-QA-024</t>
        </is>
      </c>
      <c r="B27" s="25" t="inlineStr">
        <is>
          <t>2026-10-23</t>
        </is>
      </c>
      <c r="C27" s="25" t="inlineStr">
        <is>
          <t>MS-NAV-003; MS-NAV-004</t>
        </is>
      </c>
      <c r="D27" s="25" t="inlineStr">
        <is>
          <t>WebKit critical results blocked by unused Nuxt preload warnings</t>
        </is>
      </c>
      <c r="E27" s="25" t="inlineStr">
        <is>
          <t>Low</t>
        </is>
      </c>
      <c r="F27" s="25" t="inlineStr">
        <is>
          <t>P3</t>
        </is>
      </c>
      <c r="G27" s="25" t="inlineStr">
        <is>
          <t>Storefront / QA investigation</t>
        </is>
      </c>
      <c r="H27" s="25" t="inlineStr">
        <is>
          <t>dev-2 / WebKit</t>
        </is>
      </c>
      <c r="I27" s="25" t="inlineStr">
        <is>
          <t>Safe tests; console/HTTP guards active; retries=0.</t>
        </is>
      </c>
      <c r="J27" s="25" t="inlineStr">
        <is>
          <t>Run five critical UI checks with webkit-desktop; inspect search/cart console output.</t>
        </is>
      </c>
      <c r="K27" s="25" t="inlineStr">
        <is>
          <t>Review preload strategy and explicitly decide advisory-warning severity while keeping functional/HTTP errors actionable.</t>
        </is>
      </c>
      <c r="L27" s="25" t="inlineStr">
        <is>
          <t>Three cases passed. Search and cart completed functional assertions but failed console guards on unused /_nuxt/*.js and /kr/_payload.json preloads.</t>
        </is>
      </c>
      <c r="M27" s="25" t="inlineStr">
        <is>
          <t>test-results/dev-2-browsers.json; test-results/dev-2-browsers/</t>
        </is>
      </c>
      <c r="N27" s="25" t="inlineStr">
        <is>
          <t>Codex / Playwright</t>
        </is>
      </c>
      <c r="O27" s="25" t="inlineStr">
        <is>
          <t>Open</t>
        </is>
      </c>
      <c r="P27" s="25" t="n"/>
      <c r="Q27" s="25" t="n"/>
      <c r="R27" s="25" t="inlineStr">
        <is>
          <t>QA-policy/performance advisory investigation: no functional regression established by these warnings. No allowance added; cross-browser qualification remains incomplete.</t>
        </is>
      </c>
    </row>
    <row r="28" ht="110" customHeight="1">
      <c r="A28" s="12" t="inlineStr">
        <is>
          <t>MUS-QA-025</t>
        </is>
      </c>
      <c r="B28" s="25" t="inlineStr">
        <is>
          <t>2026-10-28</t>
        </is>
      </c>
      <c r="C28" s="25" t="inlineStr">
        <is>
          <t>MS-ADMO-019</t>
        </is>
      </c>
      <c r="D28" s="25" t="inlineStr">
        <is>
          <t>Artwork reminder email after checkout fails with HTTP 500</t>
        </is>
      </c>
      <c r="E28" s="25" t="inlineStr">
        <is>
          <t>Medium</t>
        </is>
      </c>
      <c r="F28" s="25" t="inlineStr">
        <is>
          <t>P2</t>
        </is>
      </c>
      <c r="G28" s="25" t="inlineStr">
        <is>
          <t>Storefront + API</t>
        </is>
      </c>
      <c r="H28" s="25" t="inlineStr">
        <is>
          <t>dev-1 / Chromium desktop</t>
        </is>
      </c>
      <c r="I28" s="25" t="inlineStr">
        <is>
          <t>Newly registered member with a mail.tm inbox; one 자유형 조각스티커 (75x75mm, 100개) in the cart; KakaoPay sandbox (PayApp Local Mock).</t>
        </is>
      </c>
      <c r="J28" s="25" t="inlineStr">
        <is>
          <t>1. Sign in as a member and add one sticker to the cart.
2. Check out with KakaoPay and complete the PayApp mock card payment.
3. On the order confirmation page, watch the network and console.</t>
        </is>
      </c>
      <c r="K28" s="25" t="inlineStr">
        <is>
          <t>POST /sys/kr/orders/checkout/complete/send/artwork/&lt;order id&gt; succeeds and the customer receives an artwork reminder email.</t>
        </is>
      </c>
      <c r="L28" s="25" t="inlineStr">
        <is>
          <t>The request answers HTTP 500. The page logs "Critical Server Error. Please contact support." and "Order artwork reminder email failed: FetchError ... 500". No reminder email arrives; only the [주문 안내] order email does.</t>
        </is>
      </c>
      <c r="M28" s="25" t="inlineStr">
        <is>
          <t>MS-ADMO-019 runs on dev-1, 2026-10-28: AO-2610280007-dev (order id 2633) and order id 2630. Spec: tests/e2e/admin/orders/order-emails.spec.ts</t>
        </is>
      </c>
      <c r="N28" s="25" t="inlineStr">
        <is>
          <t>Claude / Playwright</t>
        </is>
      </c>
      <c r="O28" s="25" t="inlineStr">
        <is>
          <t>Open</t>
        </is>
      </c>
      <c r="P28" s="25" t="n"/>
      <c r="Q28" s="25" t="n"/>
      <c r="R28" s="25" t="inlineStr">
        <is>
          <t>Not Retested</t>
        </is>
      </c>
    </row>
  </sheetData>
  <autoFilter ref="A1:R28"/>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9"/>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4">
      <c r="A4" t="inlineStr">
        <is>
          <t>2026-10-23 - production exploration and regression coverage</t>
        </is>
      </c>
    </row>
    <row r="5" ht="51" customHeight="1">
      <c r="A5" t="inlineStr">
        <is>
          <t>New coverage</t>
        </is>
      </c>
      <c r="B5" t="inlineStr">
        <is>
          <t>11 read-only regression cases for root entry, FAQ footer deep links/reload, public content and search recovery/navigation. Stronger answer and filtering assertions for MS-DSC-004/005.</t>
        </is>
      </c>
    </row>
    <row r="6" ht="51" customHeight="1">
      <c r="A6" t="inlineStr">
        <is>
          <t>Removed automation</t>
        </is>
      </c>
      <c r="B6" t="inlineStr">
        <is>
          <t>29 historical pricing/visual workbook cases marked Withdrawn to match the user-requested code removal; IDs retained. Coverage formulas and filters extended to include new cases.</t>
        </is>
      </c>
    </row>
    <row r="8">
      <c r="A8" s="3" t="inlineStr">
        <is>
          <t>2026-10-15 - workbook v1.3, suites</t>
        </is>
      </c>
    </row>
    <row r="9" ht="38.25" customHeight="1">
      <c r="A9" s="28" t="inlineStr">
        <is>
          <t>Sub-Area</t>
        </is>
      </c>
      <c r="B9" s="5" t="inlineStr">
        <is>
          <t>Sub-Area now names the suite a case belongs to (for example Registration, Change password, Guest order lookup), instead of a short label per case: 175 cases in 42 suites. Each automated suite is one Playwright spec file, and the suite name is that file's test.describe title. Planned admin cases are grouped into the suites their specs will use.</t>
        </is>
      </c>
    </row>
    <row r="10" ht="38.25" customHeight="1">
      <c r="A10" s="28" t="inlineStr">
        <is>
          <t>Playwright Spec</t>
        </is>
      </c>
      <c r="B10" s="5" t="inlineStr">
        <is>
          <t>Spec files moved into one folder per module: navigation, configuration, sheet-size-rules, cart, checkout, inquiry and ux replace smoke, purchasing, validation and regression. checkout-destructive.spec.ts is now guest-checkout-payment.spec.ts. MS-AUTH-029 moved to the Guest order lookup suite and MS-CRT-005 to the new Guest cart merge suite. Test titles, tags and test logic are unchanged; still 2,473 tests.</t>
        </is>
      </c>
    </row>
    <row r="11" ht="38.25" customHeight="1"/>
    <row r="12">
      <c r="A12" s="3" t="inlineStr">
        <is>
          <t>2026-10-14 - workbook v1.2, module-based TC IDs</t>
        </is>
      </c>
    </row>
    <row r="13">
      <c r="A13" s="28" t="inlineStr">
        <is>
          <t>TC IDs</t>
        </is>
      </c>
      <c r="B13" s="5" t="inlineStr">
        <is>
          <t>MS-V2-### and MS-ADM-### are replaced by MS-&lt;MODULE&gt;-###, so an ID names its module (the Area): NAV, DSC, CFG, SHT, CRT, CHK, AUTH, ACC, INQ, API, UX, ADMO (admin order processing) and ADMA (admin access &amp; order management), numbered 001 upward in workbook order. MS-PRC-*, MS-SEC-* and MS-WAF-* are unchanged. 140 cases renamed.</t>
        </is>
      </c>
    </row>
    <row r="14" ht="38.25" customHeight="1">
      <c r="A14" s="28" t="inlineStr">
        <is>
          <t>Legacy ID</t>
        </is>
      </c>
      <c r="B14" s="5" t="inlineStr">
        <is>
          <t>New column Y keeps each renamed case's previous ID. Older entries in this changelog, past Allure history and defect evidence still use the old IDs; look them up in that column.</t>
        </is>
      </c>
    </row>
    <row r="15" ht="38.25" customHeight="1">
      <c r="A15" s="28" t="inlineStr">
        <is>
          <t>Suite</t>
        </is>
      </c>
      <c r="B15" s="5" t="inlineStr">
        <is>
          <t>Playwright test titles, comments, fixtures and docs renamed to match (178 test titles; no test logic changed; still 2,473 tests). Defect Log TC IDs and the cross-references in the other tabs updated.</t>
        </is>
      </c>
    </row>
    <row r="16" ht="25.5" customHeight="1"/>
    <row r="17">
      <c r="A17" s="3" t="inlineStr">
        <is>
          <t>2026-10-14 - workbook v1.1, MS-ADM-001 re-run, storefront explored</t>
        </is>
      </c>
    </row>
    <row r="18">
      <c r="A18" s="28" t="inlineStr">
        <is>
          <t>MS-ADM-001</t>
        </is>
      </c>
      <c r="B18"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19">
      <c r="A19" s="28" t="inlineStr">
        <is>
          <t>Admin recording</t>
        </is>
      </c>
      <c r="B19"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20">
      <c r="A20" s="28" t="inlineStr">
        <is>
          <t>Cases</t>
        </is>
      </c>
      <c r="B20" s="5" t="inlineStr">
        <is>
          <t>MS-ADM-016 (Move to Production) withdrawn. MS-ADM-006, 013, 014, 015, 017, 020, 022, 030 and 031 updated to the new flow; Business Rules and Glossary likewise.</t>
        </is>
      </c>
    </row>
    <row r="21" ht="25.5" customHeight="1">
      <c r="A21" s="28" t="inlineStr">
        <is>
          <t>Defects</t>
        </is>
      </c>
      <c r="B21" s="5" t="inlineStr">
        <is>
          <t>MUS-QA-004 and MUS-QA-007 retested as fixed. MUS-QA-001 still reproduces for the printing and shipping entries. New: MUS-QA-010 and MUS-QA-011 (Low, to confirm).</t>
        </is>
      </c>
    </row>
    <row r="22" ht="25.5" customHeight="1">
      <c r="A22" s="28" t="inlineStr">
        <is>
          <t>Environments</t>
        </is>
      </c>
      <c r="B22"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23">
      <c r="A23" s="28" t="inlineStr">
        <is>
          <t>Seed orders</t>
        </is>
      </c>
      <c r="B23" s="5" t="inlineStr">
        <is>
          <t>Re-checked on 2026-10-14: AO-2609180004-dev had been used elsewhere and AO-2609070004/0005-dev have two items, so one unused candidate is left (AO-2609070006-dev).</t>
        </is>
      </c>
    </row>
    <row r="24">
      <c r="A24" s="28" t="inlineStr">
        <is>
          <t>Admin login</t>
        </is>
      </c>
      <c r="B24" s="5" t="inlineStr">
        <is>
          <t>dev-static-1 has a tester OTP endpoint that returns the admin verification code; noted under MS-ADM-002 as a way to run admin cases without a person. Not used by the suite yet.</t>
        </is>
      </c>
    </row>
    <row r="25">
      <c r="A25" s="28" t="inlineStr">
        <is>
          <t>Storefront run</t>
        </is>
      </c>
      <c r="B25"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26" ht="25.5" customHeight="1">
      <c r="A26" s="28" t="inlineStr">
        <is>
          <t>Order chooser</t>
        </is>
      </c>
      <c r="B26" s="5" t="inlineStr">
        <is>
          <t>다음 단계 now opens 어떻게 주문하시겠어요? (with a file / in the studio / file later), live on production. MS-V2-050 and 053 updated; new MS-V2-115.</t>
        </is>
      </c>
    </row>
    <row r="27">
      <c r="A27" s="28" t="inlineStr">
        <is>
          <t>Design studio</t>
        </is>
      </c>
      <c r="B27" s="5" t="inlineStr">
        <is>
          <t>New web studio (?studio=1): carries size and quantity over, prices 5% lower, refuses low-resolution designs. New MS-V2-116 and 117 (automated, production-safe) and MS-V2-118 (planned: add-to-cart blocked by MUS-QA-015). New fixture studio-design.png.</t>
        </is>
      </c>
    </row>
    <row r="28">
      <c r="A28" s="28" t="inlineStr">
        <is>
          <t>Header and footer</t>
        </is>
      </c>
      <c r="B28" s="5" t="inlineStr">
        <is>
          <t>Nav items open a product menu instead of the category page (MS-V2-002 rewritten, MS-V2-035 updated); the footer was redesigned (MS-V2-001, 020, 039).</t>
        </is>
      </c>
    </row>
    <row r="29">
      <c r="A29" s="28" t="inlineStr">
        <is>
          <t>Copy and options</t>
        </is>
      </c>
      <c r="B29" s="5" t="inlineStr">
        <is>
          <t>PVC 매트 is now 무광 화이트; sheet stickers show a discount on every tier (MS-V2-052 rewritten); rounded-roll, rounded-sheet and transfer H1s renamed back; production's category cards reverted to pre-rename names (MUS-QA-016).</t>
        </is>
      </c>
    </row>
    <row r="30">
      <c r="A30" s="28" t="inlineStr">
        <is>
          <t>Suite fixes</t>
        </is>
      </c>
      <c r="B30"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31">
      <c r="A31" s="28" t="inlineStr">
        <is>
          <t>Pricing</t>
        </is>
      </c>
      <c r="B31"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32">
      <c r="A32" s="28" t="inlineStr">
        <is>
          <t>Storefront defects</t>
        </is>
      </c>
      <c r="B32" s="5" t="inlineStr">
        <is>
          <t>MUS-QA-012 to 020 logged (search button name, /dev/ assets on production, page weight, studio confirmation lock, pre-rename names, English FAQ on static-1, size-range mismatch, selection state not exposed, lettering 500-rung rate).</t>
        </is>
      </c>
    </row>
    <row r="34">
      <c r="A34" s="3" t="inlineStr">
        <is>
          <t>2026-09-25 - workbook v1, suite reorganised</t>
        </is>
      </c>
    </row>
    <row r="35">
      <c r="A35" s="4" t="inlineStr">
        <is>
          <t>Workbook</t>
        </is>
      </c>
      <c r="B35"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36">
      <c r="A36" s="4" t="inlineStr">
        <is>
          <t>Admin panel</t>
        </is>
      </c>
      <c r="B36" s="5" t="inlineStr">
        <is>
          <t>Added the admin panel to the suite: MS-ADM-001 (storefront-to-admin order processing: design upload, rejection and resubmission, pass, proof, customer approval, production, printing, shipping, delivery) plus planned admin cases (MS-ADM-002 onward).</t>
        </is>
      </c>
    </row>
    <row r="37">
      <c r="A37" s="4" t="inlineStr">
        <is>
          <t>Folders</t>
        </is>
      </c>
      <c r="B37" s="5" t="inlineStr">
        <is>
          <t>Specs moved to tests/e2e/storefront/&lt;area&gt;/ and tests/e2e/admin/&lt;area&gt;/; page objects to tests/pom/storefront/ and tests/pom/admin/. Same 2,468 tests before and after (verified by comparing the test lists).</t>
        </is>
      </c>
    </row>
    <row r="38">
      <c r="A38" s="4" t="inlineStr">
        <is>
          <t>Docs</t>
        </is>
      </c>
      <c r="B38" s="5" t="inlineStr">
        <is>
          <t>New docs/RUNNING.md, docs/ARCHITECTURE.md, docs/CONVENTIONS.md; README.md is now a short entry point.</t>
        </is>
      </c>
    </row>
    <row r="39">
      <c r="A39" s="4" t="inlineStr">
        <is>
          <t>Defects</t>
        </is>
      </c>
      <c r="B39" s="5" t="inlineStr">
        <is>
          <t>Nine defects/questions from exploratory testing logged (MUS-QA-001 to 009).</t>
        </is>
      </c>
    </row>
    <row r="41">
      <c r="A41" s="3" t="inlineStr">
        <is>
          <t>KNOWN SUITE ISSUES (not product defects)</t>
        </is>
      </c>
    </row>
    <row r="42">
      <c r="A42" s="4" t="inlineStr">
        <is>
          <t>dev-static-1 checkout</t>
        </is>
      </c>
      <c r="B42" s="5" t="inlineStr">
        <is>
          <t>Cloudflare check before payment blocks automated browsers; guest checkout there shows no OTP popup on email blur. MS-V2-025 is verified on development-3 only.</t>
        </is>
      </c>
    </row>
    <row r="43">
      <c r="A43" s="4" t="inlineStr">
        <is>
          <t>Upload dialog (dev-static-1)</t>
        </is>
      </c>
      <c r="B43" s="5" t="inlineStr">
        <is>
          <t>The product upload dialog button is now 파일로 주문하기 and the file-type copy reads 'ai · psd · pdf · eps · tif · png · jpg'. ProductV2Page.expectDesignUploadModal and MS-V2-053 will fail when this reaches production - update storefront-data.ts then.</t>
        </is>
      </c>
    </row>
    <row r="44">
      <c r="A44" s="4" t="inlineStr">
        <is>
          <t>MS-V2-058</t>
        </is>
      </c>
      <c r="B44" s="5" t="inlineStr">
        <is>
          <t>Marked test.fixme (known alt-text defect on the size guide); skipped until fixed.</t>
        </is>
      </c>
    </row>
    <row r="46">
      <c r="A46" s="3" t="inlineStr">
        <is>
          <t>2026-08-10 - test-case.md v1</t>
        </is>
      </c>
    </row>
    <row r="47">
      <c r="A47" s="4" t="inlineStr">
        <is>
          <t>Origin</t>
        </is>
      </c>
      <c r="B47" s="5" t="inlineStr">
        <is>
          <t>Storefront v2 test case matrix (MS-V2-001 onward) and automation standards, now carried by this workbook and docs/CONVENTIONS.md.</t>
        </is>
      </c>
    </row>
    <row r="48">
      <c r="A48" t="inlineStr">
        <is>
          <t>2026-10-23 - testing tiers</t>
        </is>
      </c>
      <c r="B48" t="inlineStr">
        <is>
          <t>Added 5 API cases (8 total), stronger metadata contracts, 5-case critical UI selection, API/PR gate/deployment/release tiers, and tested dev E2E preflight. Destructive toggles removed from generic manual workflow.</t>
        </is>
      </c>
    </row>
    <row r="49">
      <c r="A49" t="inlineStr">
        <is>
          <t>2026-10-23 - dev-2 regression audit</t>
        </is>
      </c>
      <c r="B49" t="inlineStr">
        <is>
          <t>Recorded desktop baseline, focused replays, Firefox/WebKit critical checks and mobile initial/recheck. Corrected checkout feedback selector and redundant footer/mobile navigation; added sanitized diagnostics and optional JSON reporting. Logged MUS-QA-022 to 024; five existing CFG-015 fixmes remain unverified.</t>
        </is>
      </c>
    </row>
  </sheetData>
  <mergeCells count="1">
    <mergeCell ref="A4:B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
  <sheetViews>
    <sheetView zoomScale="8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23" customWidth="1" min="2" max="2"/>
    <col width="75" customWidth="1" min="3" max="3"/>
    <col width="12" customWidth="1" min="4" max="4"/>
    <col width="45" customWidth="1" min="5" max="5"/>
    <col width="65" customWidth="1" min="6" max="6"/>
  </cols>
  <sheetData>
    <row r="1" ht="30" customHeight="1">
      <c r="A1" s="32" t="inlineStr">
        <is>
          <t>Production exploration and regression audit - 2026-10-23</t>
        </is>
      </c>
    </row>
    <row r="2" ht="44" customHeight="1">
      <c r="A2" s="33" t="inlineStr">
        <is>
          <t>Scope</t>
        </is>
      </c>
      <c r="B2" s="34" t="inlineStr">
        <is>
          <t>Read-only Musticker production exploration. Chromium desktop and Pixel 7 emulation; one worker, no retries. No orders, accounts, messages or admin changes.</t>
        </is>
      </c>
    </row>
    <row r="3" ht="44" customHeight="1">
      <c r="A3" s="33" t="inlineStr">
        <is>
          <t>Tools</t>
        </is>
      </c>
      <c r="B3" s="34" t="inlineStr">
        <is>
          <t>Playwright 1.59.1; axe-core 4.13.0 (home WCAG AA scan against existing known-violation baseline); ESLint; TypeScript; 25 local framework checks passed.</t>
        </is>
      </c>
    </row>
    <row r="4" ht="44" customHeight="1">
      <c r="A4" s="33" t="inlineStr">
        <is>
          <t>Result</t>
        </is>
      </c>
      <c r="B4" s="34" t="inlineStr">
        <is>
          <t>34 distinct production checks: 32 passed, 2 failed. Focused run: 11/13 passed. Representative regression: 21/21 passed. Mobile critical path: 1/1 passed. Overlapping checks counted once below.</t>
        </is>
      </c>
    </row>
    <row r="5" ht="44" customHeight="1">
      <c r="A5" s="33" t="inlineStr">
        <is>
          <t>Coverage added</t>
        </is>
      </c>
      <c r="B5" s="34" t="inlineStr">
        <is>
          <t>11 cases: public root entry, four FAQ footer query/reload destinations including auto-open shipping answer, four public content routes including policy section links/new tabs, and search empty-state recovery/product navigation. Two existing FAQ assertions strengthened.</t>
        </is>
      </c>
    </row>
    <row r="6" ht="44" customHeight="1">
      <c r="A6" s="33" t="inlineStr">
        <is>
          <t>Limits</t>
        </is>
      </c>
      <c r="B6" s="34" t="inlineStr">
        <is>
          <t>A focused regression sample, not the complete 189-test desktop inventory. Firefox/WebKit, authenticated journeys, payment/order writes and admin flows were not run. Intermittent fetch console error remains open for triage.</t>
        </is>
      </c>
    </row>
    <row r="8">
      <c r="A8" t="inlineStr">
        <is>
          <t>Case ID</t>
        </is>
      </c>
      <c r="B8" t="inlineStr">
        <is>
          <t>Project</t>
        </is>
      </c>
      <c r="C8" t="inlineStr">
        <is>
          <t>Test</t>
        </is>
      </c>
      <c r="D8" t="inlineStr">
        <is>
          <t>Result</t>
        </is>
      </c>
      <c r="E8" t="inlineStr">
        <is>
          <t>Evidence</t>
        </is>
      </c>
      <c r="F8" t="inlineStr">
        <is>
          <t>Notes</t>
        </is>
      </c>
    </row>
    <row r="9" ht="48" customHeight="1">
      <c r="A9" s="34" t="inlineStr">
        <is>
          <t>MS-API-001</t>
        </is>
      </c>
      <c r="B9" s="34" t="inlineStr">
        <is>
          <t>chromium-desktop</t>
        </is>
      </c>
      <c r="C9" s="34" t="inlineStr">
        <is>
          <t>MS-API-001 navigation categories API returns public category data</t>
        </is>
      </c>
      <c r="D9" s="35" t="inlineStr">
        <is>
          <t>Pass</t>
        </is>
      </c>
      <c r="E9" s="36" t="inlineStr">
        <is>
          <t>test-results/production-baseline.json</t>
        </is>
      </c>
      <c r="F9" s="34" t="inlineStr"/>
    </row>
    <row r="10" ht="48" customHeight="1">
      <c r="A10" s="34" t="inlineStr">
        <is>
          <t>MS-API-002</t>
        </is>
      </c>
      <c r="B10" s="34" t="inlineStr">
        <is>
          <t>chromium-desktop</t>
        </is>
      </c>
      <c r="C10" s="34" t="inlineStr">
        <is>
          <t>MS-API-002 inquiry types API returns selectable inquiry metadata</t>
        </is>
      </c>
      <c r="D10" s="35" t="inlineStr">
        <is>
          <t>Pass</t>
        </is>
      </c>
      <c r="E10" s="36" t="inlineStr">
        <is>
          <t>test-results/production-baseline.json</t>
        </is>
      </c>
      <c r="F10" s="34" t="inlineStr"/>
    </row>
    <row r="11" ht="48" customHeight="1">
      <c r="A11" s="34" t="inlineStr">
        <is>
          <t>MS-API-003</t>
        </is>
      </c>
      <c r="B11" s="34" t="inlineStr">
        <is>
          <t>chromium-desktop</t>
        </is>
      </c>
      <c r="C11" s="34" t="inlineStr">
        <is>
          <t>MS-API-003 anonymous user session API rejects unauthenticated users safely</t>
        </is>
      </c>
      <c r="D11" s="35" t="inlineStr">
        <is>
          <t>Pass</t>
        </is>
      </c>
      <c r="E11" s="36" t="inlineStr">
        <is>
          <t>test-results/production-baseline.json</t>
        </is>
      </c>
      <c r="F11" s="34" t="inlineStr"/>
    </row>
    <row r="12" ht="48" customHeight="1">
      <c r="A12" s="34" t="inlineStr">
        <is>
          <t>MS-CFG-001</t>
        </is>
      </c>
      <c r="B12" s="34" t="inlineStr">
        <is>
          <t>chromium-desktop</t>
        </is>
      </c>
      <c r="C12" s="34" t="inlineStr">
        <is>
          <t>MS-CFG-001 die-cut sticker supports size and quantity selection</t>
        </is>
      </c>
      <c r="D12" s="35" t="inlineStr">
        <is>
          <t>Pass</t>
        </is>
      </c>
      <c r="E12" s="36" t="inlineStr">
        <is>
          <t>test-results/production-baseline.json</t>
        </is>
      </c>
      <c r="F12" s="34" t="inlineStr"/>
    </row>
    <row r="13" ht="48" customHeight="1">
      <c r="A13" s="34" t="inlineStr">
        <is>
          <t>MS-CFG-002</t>
        </is>
      </c>
      <c r="B13" s="34" t="inlineStr">
        <is>
          <t>chromium-desktop</t>
        </is>
      </c>
      <c r="C13" s="34" t="inlineStr">
        <is>
          <t>MS-CFG-002 die-cut roll sticker supports size and quantity selection</t>
        </is>
      </c>
      <c r="D13" s="35" t="inlineStr">
        <is>
          <t>Pass</t>
        </is>
      </c>
      <c r="E13" s="36" t="inlineStr">
        <is>
          <t>test-results/production-baseline.json</t>
        </is>
      </c>
      <c r="F13" s="34" t="inlineStr"/>
    </row>
    <row r="14" ht="48" customHeight="1">
      <c r="A14" s="34" t="inlineStr">
        <is>
          <t>MS-CFG-003</t>
        </is>
      </c>
      <c r="B14" s="34" t="inlineStr">
        <is>
          <t>chromium-desktop</t>
        </is>
      </c>
      <c r="C14" s="34" t="inlineStr">
        <is>
          <t>MS-CFG-003 die-cut sheet sticker supports material, sheet size, and quantity selection</t>
        </is>
      </c>
      <c r="D14" s="35" t="inlineStr">
        <is>
          <t>Pass</t>
        </is>
      </c>
      <c r="E14" s="36" t="inlineStr">
        <is>
          <t>test-results/production-baseline.json</t>
        </is>
      </c>
      <c r="F14" s="34" t="inlineStr"/>
    </row>
    <row r="15" ht="48" customHeight="1">
      <c r="A15" s="34" t="inlineStr">
        <is>
          <t>MS-CFG-004</t>
        </is>
      </c>
      <c r="B15" s="34" t="inlineStr">
        <is>
          <t>chromium-desktop</t>
        </is>
      </c>
      <c r="C15" s="34" t="inlineStr">
        <is>
          <t>MS-CFG-004 custom size and quantity controls are reachable</t>
        </is>
      </c>
      <c r="D15" s="35" t="inlineStr">
        <is>
          <t>Pass</t>
        </is>
      </c>
      <c r="E15" s="36" t="inlineStr">
        <is>
          <t>test-results/production-baseline.json</t>
        </is>
      </c>
      <c r="F15" s="34" t="inlineStr"/>
    </row>
    <row r="16" ht="48" customHeight="1">
      <c r="A16" s="34" t="inlineStr">
        <is>
          <t>MS-CFG-005</t>
        </is>
      </c>
      <c r="B16" s="34" t="inlineStr">
        <is>
          <t>chromium-desktop</t>
        </is>
      </c>
      <c r="C16" s="34" t="inlineStr">
        <is>
          <t>MS-CFG-005 product trust and delivery promises are visible</t>
        </is>
      </c>
      <c r="D16" s="35" t="inlineStr">
        <is>
          <t>Pass</t>
        </is>
      </c>
      <c r="E16" s="36" t="inlineStr">
        <is>
          <t>test-results/production-baseline.json</t>
        </is>
      </c>
      <c r="F16" s="34" t="inlineStr"/>
    </row>
    <row r="17" ht="48" customHeight="1">
      <c r="A17" s="34" t="inlineStr">
        <is>
          <t>MS-DSC-001</t>
        </is>
      </c>
      <c r="B17" s="34" t="inlineStr">
        <is>
          <t>chromium-desktop</t>
        </is>
      </c>
      <c r="C17" s="34" t="inlineStr">
        <is>
          <t>MS-DSC-001 sticker category lists expected product links</t>
        </is>
      </c>
      <c r="D17" s="35" t="inlineStr">
        <is>
          <t>Pass</t>
        </is>
      </c>
      <c r="E17" s="36" t="inlineStr">
        <is>
          <t>test-results/production-baseline.json</t>
        </is>
      </c>
      <c r="F17" s="34" t="inlineStr"/>
    </row>
    <row r="18" ht="48" customHeight="1">
      <c r="A18" s="34" t="inlineStr">
        <is>
          <t>MS-DSC-002</t>
        </is>
      </c>
      <c r="B18" s="34" t="inlineStr">
        <is>
          <t>chromium-desktop</t>
        </is>
      </c>
      <c r="C18" s="34" t="inlineStr">
        <is>
          <t>MS-DSC-002 roll sticker category lists expected product links</t>
        </is>
      </c>
      <c r="D18" s="35" t="inlineStr">
        <is>
          <t>Pass</t>
        </is>
      </c>
      <c r="E18" s="36" t="inlineStr">
        <is>
          <t>test-results/production-baseline.json</t>
        </is>
      </c>
      <c r="F18" s="34" t="inlineStr"/>
    </row>
    <row r="19" ht="48" customHeight="1">
      <c r="A19" s="34" t="inlineStr">
        <is>
          <t>MS-DSC-003</t>
        </is>
      </c>
      <c r="B19" s="34" t="inlineStr">
        <is>
          <t>chromium-desktop</t>
        </is>
      </c>
      <c r="C19" s="34" t="inlineStr">
        <is>
          <t>MS-DSC-003 sheet sticker category lists expected product links</t>
        </is>
      </c>
      <c r="D19" s="35" t="inlineStr">
        <is>
          <t>Pass</t>
        </is>
      </c>
      <c r="E19" s="36" t="inlineStr">
        <is>
          <t>test-results/production-baseline.json</t>
        </is>
      </c>
      <c r="F19" s="34" t="inlineStr"/>
    </row>
    <row r="20" ht="48" customHeight="1">
      <c r="A20" s="34" t="inlineStr">
        <is>
          <t>MS-DSC-004</t>
        </is>
      </c>
      <c r="B20" s="34" t="inlineStr">
        <is>
          <t>chromium-desktop</t>
        </is>
      </c>
      <c r="C20" s="34" t="inlineStr">
        <is>
          <t>MS-DSC-004 FAQ topics and accordions are usable</t>
        </is>
      </c>
      <c r="D20" s="35" t="inlineStr">
        <is>
          <t>Pass</t>
        </is>
      </c>
      <c r="E20" s="36" t="inlineStr">
        <is>
          <t>test-results/production-audit-final.json</t>
        </is>
      </c>
      <c r="F20" s="34" t="inlineStr"/>
    </row>
    <row r="21" ht="48" customHeight="1">
      <c r="A21" s="34" t="inlineStr">
        <is>
          <t>MS-DSC-005</t>
        </is>
      </c>
      <c r="B21" s="34" t="inlineStr">
        <is>
          <t>chromium-desktop</t>
        </is>
      </c>
      <c r="C21" s="34" t="inlineStr">
        <is>
          <t>MS-DSC-005 FAQ search filters and resets content</t>
        </is>
      </c>
      <c r="D21" s="35" t="inlineStr">
        <is>
          <t>Pass</t>
        </is>
      </c>
      <c r="E21" s="36" t="inlineStr">
        <is>
          <t>test-results/production-audit-final.json</t>
        </is>
      </c>
      <c r="F21" s="34" t="inlineStr"/>
    </row>
    <row r="22" ht="48" customHeight="1">
      <c r="A22" s="34" t="inlineStr">
        <is>
          <t>MS-DSC-006</t>
        </is>
      </c>
      <c r="B22" s="34" t="inlineStr">
        <is>
          <t>chromium-desktop</t>
        </is>
      </c>
      <c r="C22" s="34" t="inlineStr">
        <is>
          <t>MS-DSC-006 about page loads hero, sub-nav, stats, and CTAs</t>
        </is>
      </c>
      <c r="D22" s="35" t="inlineStr">
        <is>
          <t>Pass</t>
        </is>
      </c>
      <c r="E22" s="36" t="inlineStr">
        <is>
          <t>test-results/production-baseline.json</t>
        </is>
      </c>
      <c r="F22" s="34" t="inlineStr"/>
    </row>
    <row r="23" ht="48" customHeight="1">
      <c r="A23" s="34" t="inlineStr">
        <is>
          <t>MS-DSC-008</t>
        </is>
      </c>
      <c r="B23" s="34" t="inlineStr">
        <is>
          <t>chromium-desktop</t>
        </is>
      </c>
      <c r="C23" s="34" t="inlineStr">
        <is>
          <t>MS-DSC-008 footer order link selects its FAQ topic and survives reload</t>
        </is>
      </c>
      <c r="D23" s="37" t="inlineStr">
        <is>
          <t>Fail</t>
        </is>
      </c>
      <c r="E23" s="36" t="inlineStr">
        <is>
          <t>test-results/production-audit-final.json</t>
        </is>
      </c>
      <c r="F23" s="34" t="inlineStr">
        <is>
          <t>Unexpected TypeError: Failed to fetch in console guard; content assertions passed. MUS-QA-021.</t>
        </is>
      </c>
    </row>
    <row r="24" ht="48" customHeight="1">
      <c r="A24" s="34" t="inlineStr">
        <is>
          <t>MS-DSC-009</t>
        </is>
      </c>
      <c r="B24" s="34" t="inlineStr">
        <is>
          <t>chromium-desktop</t>
        </is>
      </c>
      <c r="C24" s="34" t="inlineStr">
        <is>
          <t>MS-DSC-009 footer artwork link selects its FAQ topic and survives reload</t>
        </is>
      </c>
      <c r="D24" s="35" t="inlineStr">
        <is>
          <t>Pass</t>
        </is>
      </c>
      <c r="E24" s="36" t="inlineStr">
        <is>
          <t>test-results/production-audit-final.json</t>
        </is>
      </c>
      <c r="F24" s="34" t="inlineStr"/>
    </row>
    <row r="25" ht="48" customHeight="1">
      <c r="A25" s="34" t="inlineStr">
        <is>
          <t>MS-DSC-010</t>
        </is>
      </c>
      <c r="B25" s="34" t="inlineStr">
        <is>
          <t>chromium-desktop</t>
        </is>
      </c>
      <c r="C25" s="34" t="inlineStr">
        <is>
          <t>MS-DSC-010 footer shipping link selects its FAQ topic and survives reload</t>
        </is>
      </c>
      <c r="D25" s="37" t="inlineStr">
        <is>
          <t>Fail</t>
        </is>
      </c>
      <c r="E25" s="36" t="inlineStr">
        <is>
          <t>test-results/production-audit-final.json</t>
        </is>
      </c>
      <c r="F25" s="34" t="inlineStr">
        <is>
          <t>Unexpected TypeError: Failed to fetch in console guard; content assertions passed. MUS-QA-021.</t>
        </is>
      </c>
    </row>
    <row r="26" ht="48" customHeight="1">
      <c r="A26" s="34" t="inlineStr">
        <is>
          <t>MS-DSC-011</t>
        </is>
      </c>
      <c r="B26" s="34" t="inlineStr">
        <is>
          <t>chromium-desktop</t>
        </is>
      </c>
      <c r="C26" s="34" t="inlineStr">
        <is>
          <t>MS-DSC-011 footer refund link selects its FAQ topic and survives reload</t>
        </is>
      </c>
      <c r="D26" s="35" t="inlineStr">
        <is>
          <t>Pass</t>
        </is>
      </c>
      <c r="E26" s="36" t="inlineStr">
        <is>
          <t>test-results/production-audit-final.json</t>
        </is>
      </c>
      <c r="F26" s="34" t="inlineStr"/>
    </row>
    <row r="27" ht="48" customHeight="1">
      <c r="A27" s="34" t="inlineStr">
        <is>
          <t>MS-DSC-012</t>
        </is>
      </c>
      <c r="B27" s="34" t="inlineStr">
        <is>
          <t>chromium-desktop</t>
        </is>
      </c>
      <c r="C27" s="34" t="inlineStr">
        <is>
          <t>MS-DSC-012 footer terms link renders its public content</t>
        </is>
      </c>
      <c r="D27" s="35" t="inlineStr">
        <is>
          <t>Pass</t>
        </is>
      </c>
      <c r="E27" s="36" t="inlineStr">
        <is>
          <t>test-results/production-audit-final.json</t>
        </is>
      </c>
      <c r="F27" s="34" t="inlineStr"/>
    </row>
    <row r="28" ht="48" customHeight="1">
      <c r="A28" s="34" t="inlineStr">
        <is>
          <t>MS-DSC-013</t>
        </is>
      </c>
      <c r="B28" s="34" t="inlineStr">
        <is>
          <t>chromium-desktop</t>
        </is>
      </c>
      <c r="C28" s="34" t="inlineStr">
        <is>
          <t>MS-DSC-013 footer privacy link renders its public content</t>
        </is>
      </c>
      <c r="D28" s="35" t="inlineStr">
        <is>
          <t>Pass</t>
        </is>
      </c>
      <c r="E28" s="36" t="inlineStr">
        <is>
          <t>test-results/production-audit-final.json</t>
        </is>
      </c>
      <c r="F28" s="34" t="inlineStr"/>
    </row>
    <row r="29" ht="48" customHeight="1">
      <c r="A29" s="34" t="inlineStr">
        <is>
          <t>MS-DSC-014</t>
        </is>
      </c>
      <c r="B29" s="34" t="inlineStr">
        <is>
          <t>chromium-desktop</t>
        </is>
      </c>
      <c r="C29" s="34" t="inlineStr">
        <is>
          <t>MS-DSC-014 footer licenses link renders its public content</t>
        </is>
      </c>
      <c r="D29" s="35" t="inlineStr">
        <is>
          <t>Pass</t>
        </is>
      </c>
      <c r="E29" s="36" t="inlineStr">
        <is>
          <t>test-results/production-audit-final.json</t>
        </is>
      </c>
      <c r="F29" s="34" t="inlineStr"/>
    </row>
    <row r="30" ht="48" customHeight="1">
      <c r="A30" s="34" t="inlineStr">
        <is>
          <t>MS-DSC-015</t>
        </is>
      </c>
      <c r="B30" s="34" t="inlineStr">
        <is>
          <t>chromium-desktop</t>
        </is>
      </c>
      <c r="C30" s="34" t="inlineStr">
        <is>
          <t>MS-DSC-015 footer announcements link renders its public content</t>
        </is>
      </c>
      <c r="D30" s="35" t="inlineStr">
        <is>
          <t>Pass</t>
        </is>
      </c>
      <c r="E30" s="36" t="inlineStr">
        <is>
          <t>test-results/production-audit-final.json</t>
        </is>
      </c>
      <c r="F30" s="34" t="inlineStr"/>
    </row>
    <row r="31" ht="48" customHeight="1">
      <c r="A31" s="34" t="inlineStr">
        <is>
          <t>MS-NAV-001</t>
        </is>
      </c>
      <c r="B31" s="34" t="inlineStr">
        <is>
          <t>chromium-desktop</t>
        </is>
      </c>
      <c r="C31" s="34" t="inlineStr">
        <is>
          <t>MS-NAV-001 homepage loads with critical public content</t>
        </is>
      </c>
      <c r="D31" s="35" t="inlineStr">
        <is>
          <t>Pass</t>
        </is>
      </c>
      <c r="E31" s="36" t="inlineStr">
        <is>
          <t>test-results/production-baseline.json</t>
        </is>
      </c>
      <c r="F31" s="34" t="inlineStr"/>
    </row>
    <row r="32" ht="48" customHeight="1">
      <c r="A32" s="34" t="inlineStr">
        <is>
          <t>MS-NAV-002</t>
        </is>
      </c>
      <c r="B32" s="34" t="inlineStr">
        <is>
          <t>chromium-desktop</t>
        </is>
      </c>
      <c r="C32" s="34" t="inlineStr">
        <is>
          <t>MS-NAV-002 header navigation opens each category product menu</t>
        </is>
      </c>
      <c r="D32" s="35" t="inlineStr">
        <is>
          <t>Pass</t>
        </is>
      </c>
      <c r="E32" s="36" t="inlineStr">
        <is>
          <t>test-results/production-baseline.json</t>
        </is>
      </c>
      <c r="F32" s="34" t="inlineStr"/>
    </row>
    <row r="33" ht="48" customHeight="1">
      <c r="A33" s="34" t="inlineStr">
        <is>
          <t>MS-NAV-003</t>
        </is>
      </c>
      <c r="B33" s="34" t="inlineStr">
        <is>
          <t>chromium-desktop</t>
        </is>
      </c>
      <c r="C33" s="34" t="inlineStr">
        <is>
          <t>MS-NAV-003 header search opens and finds hologram sticker content</t>
        </is>
      </c>
      <c r="D33" s="35" t="inlineStr">
        <is>
          <t>Pass</t>
        </is>
      </c>
      <c r="E33" s="36" t="inlineStr">
        <is>
          <t>test-results/production-baseline.json</t>
        </is>
      </c>
      <c r="F33" s="34" t="inlineStr"/>
    </row>
    <row r="34" ht="48" customHeight="1">
      <c r="A34" s="34" t="inlineStr">
        <is>
          <t>MS-NAV-004</t>
        </is>
      </c>
      <c r="B34" s="34" t="inlineStr">
        <is>
          <t>chromium-desktop</t>
        </is>
      </c>
      <c r="C34" s="34" t="inlineStr">
        <is>
          <t>MS-NAV-004 empty cart opens without broken state</t>
        </is>
      </c>
      <c r="D34" s="35" t="inlineStr">
        <is>
          <t>Pass</t>
        </is>
      </c>
      <c r="E34" s="36" t="inlineStr">
        <is>
          <t>test-results/production-baseline.json</t>
        </is>
      </c>
      <c r="F34" s="34" t="inlineStr"/>
    </row>
    <row r="35" ht="48" customHeight="1">
      <c r="A35" s="34" t="inlineStr">
        <is>
          <t>MS-NAV-005</t>
        </is>
      </c>
      <c r="B35" s="34" t="inlineStr">
        <is>
          <t>chromium-desktop</t>
        </is>
      </c>
      <c r="C35" s="34" t="inlineStr">
        <is>
          <t>MS-NAV-005 account icon routes anonymous users to authentication</t>
        </is>
      </c>
      <c r="D35" s="35" t="inlineStr">
        <is>
          <t>Pass</t>
        </is>
      </c>
      <c r="E35" s="36" t="inlineStr">
        <is>
          <t>test-results/production-baseline.json</t>
        </is>
      </c>
      <c r="F35" s="34" t="inlineStr"/>
    </row>
    <row r="36" ht="48" customHeight="1">
      <c r="A36" s="34" t="inlineStr">
        <is>
          <t>MS-NAV-006</t>
        </is>
      </c>
      <c r="B36" s="34" t="inlineStr">
        <is>
          <t>chromium-desktop</t>
        </is>
      </c>
      <c r="C36" s="34" t="inlineStr">
        <is>
          <t>MS-NAV-006 footer legal and support links are reachable</t>
        </is>
      </c>
      <c r="D36" s="35" t="inlineStr">
        <is>
          <t>Pass</t>
        </is>
      </c>
      <c r="E36" s="36" t="inlineStr">
        <is>
          <t>test-results/production-baseline.json</t>
        </is>
      </c>
      <c r="F36" s="34" t="inlineStr"/>
    </row>
    <row r="37" ht="48" customHeight="1">
      <c r="A37" s="34" t="inlineStr">
        <is>
          <t>MS-NAV-007</t>
        </is>
      </c>
      <c r="B37" s="34" t="inlineStr">
        <is>
          <t>chromium-desktop</t>
        </is>
      </c>
      <c r="C37" s="34" t="inlineStr">
        <is>
          <t>MS-NAV-007 Korean locale control is stable</t>
        </is>
      </c>
      <c r="D37" s="35" t="inlineStr">
        <is>
          <t>Pass</t>
        </is>
      </c>
      <c r="E37" s="36" t="inlineStr">
        <is>
          <t>test-results/production-baseline.json</t>
        </is>
      </c>
      <c r="F37" s="34" t="inlineStr"/>
    </row>
    <row r="38" ht="48" customHeight="1">
      <c r="A38" s="34" t="inlineStr">
        <is>
          <t>MS-NAV-008</t>
        </is>
      </c>
      <c r="B38" s="34" t="inlineStr">
        <is>
          <t>chromium-mobile</t>
        </is>
      </c>
      <c r="C38" s="34" t="inlineStr">
        <is>
          <t>MS-NAV-008 home, search, cart, product config, and inquiry work on mobile</t>
        </is>
      </c>
      <c r="D38" s="35" t="inlineStr">
        <is>
          <t>Pass</t>
        </is>
      </c>
      <c r="E38" s="36" t="inlineStr">
        <is>
          <t>test-results/production-mobile.json</t>
        </is>
      </c>
      <c r="F38" s="34" t="inlineStr"/>
    </row>
    <row r="39" ht="48" customHeight="1">
      <c r="A39" s="34" t="inlineStr">
        <is>
          <t>MS-NAV-009</t>
        </is>
      </c>
      <c r="B39" s="34" t="inlineStr">
        <is>
          <t>chromium-desktop</t>
        </is>
      </c>
      <c r="C39" s="34" t="inlineStr">
        <is>
          <t>MS-NAV-009 search recovers from no results when the query is replaced</t>
        </is>
      </c>
      <c r="D39" s="35" t="inlineStr">
        <is>
          <t>Pass</t>
        </is>
      </c>
      <c r="E39" s="36" t="inlineStr">
        <is>
          <t>test-results/production-audit-final.json</t>
        </is>
      </c>
      <c r="F39" s="34" t="inlineStr"/>
    </row>
    <row r="40" ht="48" customHeight="1">
      <c r="A40" s="34" t="inlineStr">
        <is>
          <t>MS-NAV-010</t>
        </is>
      </c>
      <c r="B40" s="34" t="inlineStr">
        <is>
          <t>chromium-desktop</t>
        </is>
      </c>
      <c r="C40" s="34" t="inlineStr">
        <is>
          <t>MS-NAV-010 selecting a search result opens the product and closes search</t>
        </is>
      </c>
      <c r="D40" s="35" t="inlineStr">
        <is>
          <t>Pass</t>
        </is>
      </c>
      <c r="E40" s="36" t="inlineStr">
        <is>
          <t>test-results/production-search-confirmation.json</t>
        </is>
      </c>
      <c r="F40" s="34" t="inlineStr"/>
    </row>
    <row r="41" ht="48" customHeight="1">
      <c r="A41" s="34" t="inlineStr">
        <is>
          <t>MS-NAV-011</t>
        </is>
      </c>
      <c r="B41" s="34" t="inlineStr">
        <is>
          <t>chromium-desktop</t>
        </is>
      </c>
      <c r="C41" s="34" t="inlineStr">
        <is>
          <t>MS-NAV-011 public root entry renders the storefront with localized support links</t>
        </is>
      </c>
      <c r="D41" s="35" t="inlineStr">
        <is>
          <t>Pass</t>
        </is>
      </c>
      <c r="E41" s="36" t="inlineStr">
        <is>
          <t>test-results/production-baseline.json</t>
        </is>
      </c>
      <c r="F41" s="34" t="inlineStr"/>
    </row>
    <row r="42" ht="48" customHeight="1">
      <c r="A42" s="34" t="inlineStr">
        <is>
          <t>MS-UX-004</t>
        </is>
      </c>
      <c r="B42" s="34" t="inlineStr">
        <is>
          <t>chromium-desktop</t>
        </is>
      </c>
      <c r="C42" s="34" t="inlineStr">
        <is>
          <t>MS-UX-004 home has no new WCAG AA violations</t>
        </is>
      </c>
      <c r="D42" s="35" t="inlineStr">
        <is>
          <t>Pass</t>
        </is>
      </c>
      <c r="E42" s="36" t="inlineStr">
        <is>
          <t>test-results/production-baseline.json</t>
        </is>
      </c>
      <c r="F42" s="34" t="inlineStr">
        <is>
          <t>Home surface only; existing known accessibility violations remain allowed by the baseline.</t>
        </is>
      </c>
    </row>
    <row r="44" ht="44" customHeight="1">
      <c r="A44" t="inlineStr">
        <is>
          <t>MUS-QA-021</t>
        </is>
      </c>
      <c r="B44" s="34" t="inlineStr">
        <is>
          <t>FAQ footer navigation/reload intermittently logs TypeError: Failed to fetch. Expected content renders. Isolated network diagnostic did not reproduce the console error; aborted analytics/media/API requests were recorded. Root cause not established.</t>
        </is>
      </c>
    </row>
    <row r="45" ht="44" customHeight="1">
      <c r="A45" t="inlineStr">
        <is>
          <t>MUS-QA-012</t>
        </is>
      </c>
      <c r="B45" s="34" t="inlineStr">
        <is>
          <t>Existing issue reconfirmed after hydration: the header search button and search-focus button expose layout.header.search as their accessible name.</t>
        </is>
      </c>
    </row>
  </sheetData>
  <mergeCells count="8">
    <mergeCell ref="B4:F4"/>
    <mergeCell ref="B44:F44"/>
    <mergeCell ref="B6:F6"/>
    <mergeCell ref="B2:F2"/>
    <mergeCell ref="A1:F1"/>
    <mergeCell ref="B3:F3"/>
    <mergeCell ref="B5:F5"/>
    <mergeCell ref="B45:F45"/>
  </mergeCell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4"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18" r:id="rId10"/>
    <hyperlink xmlns:r="http://schemas.openxmlformats.org/officeDocument/2006/relationships" ref="E19" r:id="rId11"/>
    <hyperlink xmlns:r="http://schemas.openxmlformats.org/officeDocument/2006/relationships" ref="E20"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8" r:id="rId20"/>
    <hyperlink xmlns:r="http://schemas.openxmlformats.org/officeDocument/2006/relationships" ref="E29" r:id="rId21"/>
    <hyperlink xmlns:r="http://schemas.openxmlformats.org/officeDocument/2006/relationships" ref="E30" r:id="rId22"/>
    <hyperlink xmlns:r="http://schemas.openxmlformats.org/officeDocument/2006/relationships" ref="E31" r:id="rId23"/>
    <hyperlink xmlns:r="http://schemas.openxmlformats.org/officeDocument/2006/relationships" ref="E32" r:id="rId24"/>
    <hyperlink xmlns:r="http://schemas.openxmlformats.org/officeDocument/2006/relationships" ref="E33" r:id="rId25"/>
    <hyperlink xmlns:r="http://schemas.openxmlformats.org/officeDocument/2006/relationships" ref="E34" r:id="rId26"/>
    <hyperlink xmlns:r="http://schemas.openxmlformats.org/officeDocument/2006/relationships" ref="E35" r:id="rId27"/>
    <hyperlink xmlns:r="http://schemas.openxmlformats.org/officeDocument/2006/relationships" ref="E36" r:id="rId28"/>
    <hyperlink xmlns:r="http://schemas.openxmlformats.org/officeDocument/2006/relationships" ref="E37"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s>
  <pageMargins left="0.75" right="0.75" top="1" bottom="1" header="0.5" footer="0.5"/>
  <tableParts count="1">
    <tablePart xmlns:r="http://schemas.openxmlformats.org/officeDocument/2006/relationships" r:id="rId35"/>
  </tableParts>
</worksheet>
</file>

<file path=xl/worksheets/sheet11.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54" customWidth="1" min="3" max="3"/>
    <col width="105" customWidth="1" min="4" max="4"/>
  </cols>
  <sheetData>
    <row r="1">
      <c r="A1" s="38" t="inlineStr">
        <is>
          <t>Tier</t>
        </is>
      </c>
      <c r="B1" s="38" t="inlineStr">
        <is>
          <t>Command / workflow</t>
        </is>
      </c>
      <c r="C1" s="38" t="inlineStr">
        <is>
          <t>Selection</t>
        </is>
      </c>
      <c r="D1" s="38" t="inlineStr">
        <is>
          <t>Evidence / prerequisites</t>
        </is>
      </c>
    </row>
    <row r="2" ht="55" customHeight="1">
      <c r="A2" s="34" t="inlineStr">
        <is>
          <t>Framework</t>
        </is>
      </c>
      <c r="B2" s="34" t="inlineStr">
        <is>
          <t>npm run test:framework</t>
        </is>
      </c>
      <c r="C2" s="34" t="inlineStr">
        <is>
          <t>29 isolated checks</t>
        </is>
      </c>
      <c r="D2" s="34" t="inlineStr">
        <is>
          <t>Node + Playwright unit/preflight checks; no production app requests.</t>
        </is>
      </c>
    </row>
    <row r="3" ht="55" customHeight="1">
      <c r="A3" s="34" t="inlineStr">
        <is>
          <t>API</t>
        </is>
      </c>
      <c r="B3" s="34" t="inlineStr">
        <is>
          <t>npm run test:api</t>
        </is>
      </c>
      <c r="C3" s="34" t="inlineStr">
        <is>
          <t>8 tests; no browser</t>
        </is>
      </c>
      <c r="D3" s="34" t="inlineStr">
        <is>
          <t>8/8 passed on production; test-results/tier-api.json. Fresh anonymous request context per test.</t>
        </is>
      </c>
    </row>
    <row r="4" ht="55" customHeight="1">
      <c r="A4" s="34" t="inlineStr">
        <is>
          <t>Critical UI</t>
        </is>
      </c>
      <c r="B4" s="34" t="inlineStr">
        <is>
          <t>npm run test:ui:smoke</t>
        </is>
      </c>
      <c r="C4" s="34" t="inlineStr">
        <is>
          <t>5 @critical cases</t>
        </is>
      </c>
      <c r="D4" s="34" t="inlineStr">
        <is>
          <t>5/5 passed on production; test-results/tier-ui-smoke.json.</t>
        </is>
      </c>
    </row>
    <row r="5" ht="55" customHeight="1">
      <c r="A5" s="34" t="inlineStr">
        <is>
          <t>Broad UI</t>
        </is>
      </c>
      <c r="B5" s="34" t="inlineStr">
        <is>
          <t>npm run test:ui:full</t>
        </is>
      </c>
      <c r="C5" s="34" t="inlineStr">
        <is>
          <t>180 safe desktop cases; API excluded</t>
        </is>
      </c>
      <c r="D5" s="34" t="inlineStr">
        <is>
          <t>Discovery verified. The entire broad tier was not executed in this change. Existing FAQ console-error defect MUS-QA-021 remains open.</t>
        </is>
      </c>
    </row>
    <row r="6" ht="55" customHeight="1">
      <c r="A6" s="34" t="inlineStr">
        <is>
          <t>PR gate</t>
        </is>
      </c>
      <c r="B6" s="34" t="inlineStr">
        <is>
          <t>pr-checks.yml</t>
        </is>
      </c>
      <c r="C6" s="34" t="inlineStr">
        <is>
          <t>Quality/framework/UI + API + reviewed promotion</t>
        </is>
      </c>
      <c r="D6" s="34" t="inlineStr">
        <is>
          <t>Configure repository protection to require PR gate. Existing promotion manifests are still required.</t>
        </is>
      </c>
    </row>
    <row r="7" ht="55" customHeight="1">
      <c r="A7" s="34" t="inlineStr">
        <is>
          <t>Post-deployment</t>
        </is>
      </c>
      <c r="B7" s="34" t="inlineStr">
        <is>
          <t>smoke.yml</t>
        </is>
      </c>
      <c r="C7" s="34" t="inlineStr">
        <is>
          <t>API + critical UI</t>
        </is>
      </c>
      <c r="D7" s="34" t="inlineStr">
        <is>
          <t>Application deployment pipeline must send storefront-deployed with client_payload.environment. Dispatch hook implemented; external pipeline not changed.</t>
        </is>
      </c>
    </row>
    <row r="8" ht="55" customHeight="1">
      <c r="A8" s="34" t="inlineStr">
        <is>
          <t>Nightly</t>
        </is>
      </c>
      <c r="B8" s="34" t="inlineStr">
        <is>
          <t>production-full-suite.yml</t>
        </is>
      </c>
      <c r="C8" s="34" t="inlineStr">
        <is>
          <t>API, then sharded safe UI</t>
        </is>
      </c>
      <c r="D8" s="34" t="inlineStr">
        <is>
          <t>Nightly/manual only; removed push-triggered full suite.</t>
        </is>
      </c>
    </row>
    <row r="9" ht="55" customHeight="1">
      <c r="A9" s="34" t="inlineStr">
        <is>
          <t>Dev release</t>
        </is>
      </c>
      <c r="B9" s="34" t="inlineStr">
        <is>
          <t>release-checks.yml</t>
        </is>
      </c>
      <c r="C9" s="34" t="inlineStr">
        <is>
          <t>API, then Chromium/Firefox/WebKit/mobile</t>
        </is>
      </c>
      <c r="D9" s="34" t="inlineStr">
        <is>
          <t>Read-only probe of supplied dev-1 API returned HTTP 404, including its root. Live dev qualification remains blocked by environment readiness.</t>
        </is>
      </c>
    </row>
    <row r="10" ht="55" customHeight="1">
      <c r="A10" s="34" t="inlineStr">
        <is>
          <t>Controlled dev E2E</t>
        </is>
      </c>
      <c r="B10" s="34" t="inlineStr">
        <is>
          <t>npm run test:e2e:dev</t>
        </is>
      </c>
      <c r="C10" s="34" t="inlineStr">
        <is>
          <t>5 destructive storefront journeys; no admin</t>
        </is>
      </c>
      <c r="D10" s="34" t="inlineStr">
        <is>
          <t>Production rejected in preflight; sandbox confirmation, both flags, seeded credentials and same-origin cleanup required. Discovery only; no destructive E2E executed. Cleanup failure fails the run.</t>
        </is>
      </c>
    </row>
    <row r="11" ht="55" customHeight="1">
      <c r="A11" s="34" t="inlineStr">
        <is>
          <t>Accessibility / visual</t>
        </is>
      </c>
      <c r="B11" s="34" t="inlineStr">
        <is>
          <t>Included in broad UI</t>
        </is>
      </c>
      <c r="C11" s="34" t="inlineStr">
        <is>
          <t>Axe known-violation baseline + manual keyboard/screen-reader review</t>
        </is>
      </c>
      <c r="D11" s="34" t="inlineStr">
        <is>
          <t>Automated checks do not certify compliance. Visual and pricing suites remain removed.</t>
        </is>
      </c>
    </row>
  </sheetData>
  <autoFilter ref="A1:D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4"/>
  <sheetViews>
    <sheetView workbookViewId="0">
      <pane ySplit="9" topLeftCell="A10" activePane="bottomLeft" state="frozen"/>
      <selection pane="bottomLeft" activeCell="A1" sqref="A1"/>
    </sheetView>
  </sheetViews>
  <sheetFormatPr baseColWidth="8" defaultRowHeight="15"/>
  <cols>
    <col width="25" customWidth="1" min="1" max="1"/>
    <col width="23" customWidth="1" min="2" max="2"/>
    <col width="18" customWidth="1" min="3" max="3"/>
    <col width="72" customWidth="1" min="4" max="4"/>
    <col width="16" customWidth="1" min="5" max="5"/>
    <col width="19" customWidth="1" min="6" max="6"/>
    <col width="85" customWidth="1" min="7" max="7"/>
    <col width="50" customWidth="1" min="8" max="8"/>
  </cols>
  <sheetData>
    <row r="1">
      <c r="A1" s="38" t="inlineStr">
        <is>
          <t>Dev-2 regression audit - 2026-10-23</t>
        </is>
      </c>
      <c r="B1" s="38" t="n"/>
      <c r="C1" s="38" t="n"/>
      <c r="D1" s="38" t="n"/>
      <c r="E1" s="38" t="n"/>
      <c r="F1" s="38" t="n"/>
      <c r="G1" s="38" t="n"/>
      <c r="H1" s="38" t="n"/>
    </row>
    <row r="2" ht="45" customHeight="1">
      <c r="A2" s="34" t="inlineStr">
        <is>
          <t>Environment</t>
        </is>
      </c>
      <c r="B2" s="34" t="inlineStr">
        <is>
          <t>dev-2; storefront shared-dev-static-sf-2.musticker.com/kr; API shared-dev-static-api-2.musticker.com/index.php</t>
        </is>
      </c>
      <c r="C2" s="34" t="n"/>
      <c r="D2" s="34" t="n"/>
      <c r="E2" s="34" t="n"/>
      <c r="F2" s="34" t="n"/>
      <c r="G2" s="34" t="n"/>
      <c r="H2" s="34" t="n"/>
    </row>
    <row r="3" ht="45" customHeight="1">
      <c r="A3" s="34" t="inlineStr">
        <is>
          <t>Build identity</t>
        </is>
      </c>
      <c r="B3" s="34" t="inlineStr">
        <is>
          <t>Unverified: no expected application build IDs supplied.</t>
        </is>
      </c>
      <c r="C3" s="34" t="n"/>
      <c r="D3" s="34" t="n"/>
      <c r="E3" s="34" t="n"/>
      <c r="F3" s="34" t="n"/>
      <c r="G3" s="34" t="n"/>
      <c r="H3" s="34" t="n"/>
    </row>
    <row r="4" ht="45" customHeight="1">
      <c r="A4" s="34" t="inlineStr">
        <is>
          <t>Desktop baseline</t>
        </is>
      </c>
      <c r="B4" s="34" t="inlineStr">
        <is>
          <t>180 selected: 172 passed, 3 failed, 5 skipped; 22.1 minutes; workers=2; retries=0; first-attempt pass rate 98.29% of 175 executed.</t>
        </is>
      </c>
      <c r="C4" s="34" t="n"/>
      <c r="D4" s="34" t="n"/>
      <c r="E4" s="34" t="n"/>
      <c r="F4" s="34" t="n"/>
      <c r="G4" s="34" t="n"/>
      <c r="H4" s="34" t="n"/>
    </row>
    <row r="5" ht="45" customHeight="1">
      <c r="A5" s="34" t="inlineStr">
        <is>
          <t>Focused replay</t>
        </is>
      </c>
      <c r="B5" s="34" t="inlineStr">
        <is>
          <t>Checkout and footer test corrections passed; invalid-login console fetch error reproduced. Original full-run evidence retained.</t>
        </is>
      </c>
      <c r="C5" s="34" t="n"/>
      <c r="D5" s="34" t="n"/>
      <c r="E5" s="34" t="n"/>
      <c r="F5" s="34" t="n"/>
      <c r="G5" s="34" t="n"/>
      <c r="H5" s="34" t="n"/>
    </row>
    <row r="6" ht="45" customHeight="1">
      <c r="A6" s="34" t="inlineStr">
        <is>
          <t>Compatibility</t>
        </is>
      </c>
      <c r="B6" s="34" t="inlineStr">
        <is>
          <t>Firefox critical: 0/5 passed. WebKit critical: 3/5 passed. Mobile initially timed out; corrected flow passed in 17.7s.</t>
        </is>
      </c>
      <c r="C6" s="34" t="n"/>
      <c r="D6" s="34" t="n"/>
      <c r="E6" s="34" t="n"/>
      <c r="F6" s="34" t="n"/>
      <c r="G6" s="34" t="n"/>
      <c r="H6" s="34" t="n"/>
    </row>
    <row r="7" ht="45" customHeight="1">
      <c r="A7" s="34" t="inlineStr">
        <is>
          <t>Findings</t>
        </is>
      </c>
      <c r="B7" s="34" t="inlineStr">
        <is>
          <t>MUS-QA-022 fetch error; MUS-QA-023 Firefox font warnings and HTTP 502; MUS-QA-024 WebKit preload warning policy. No console allowances added.</t>
        </is>
      </c>
      <c r="C7" s="34" t="n"/>
      <c r="D7" s="34" t="n"/>
      <c r="E7" s="34" t="n"/>
      <c r="F7" s="34" t="n"/>
      <c r="G7" s="34" t="n"/>
      <c r="H7" s="34" t="n"/>
    </row>
    <row r="8" ht="45" customHeight="1">
      <c r="A8" s="34" t="inlineStr">
        <is>
          <t>Limits</t>
        </is>
      </c>
      <c r="B8" s="34" t="inlineStr">
        <is>
          <t>Only Chromium desktop ran the full suite. Firefox/WebKit ran five critical cases each. Mobile is emulation. Five CFG-015 fixmes unverified; axe passes against known allowances. No sandbox/destructive E2E or deployment integration.</t>
        </is>
      </c>
      <c r="C8" s="34" t="n"/>
      <c r="D8" s="34" t="n"/>
      <c r="E8" s="34" t="n"/>
      <c r="F8" s="34" t="n"/>
      <c r="G8" s="34" t="n"/>
      <c r="H8" s="34" t="n"/>
    </row>
    <row r="9">
      <c r="A9" s="38" t="inlineStr">
        <is>
          <t>Stage</t>
        </is>
      </c>
      <c r="B9" s="38" t="inlineStr">
        <is>
          <t>Browser</t>
        </is>
      </c>
      <c r="C9" s="38" t="inlineStr">
        <is>
          <t>TC ID</t>
        </is>
      </c>
      <c r="D9" s="38" t="inlineStr">
        <is>
          <t>Title</t>
        </is>
      </c>
      <c r="E9" s="38" t="inlineStr">
        <is>
          <t>Result</t>
        </is>
      </c>
      <c r="F9" s="38" t="inlineStr">
        <is>
          <t>Duration (ms)</t>
        </is>
      </c>
      <c r="G9" s="38" t="inlineStr">
        <is>
          <t>Notes</t>
        </is>
      </c>
      <c r="H9" s="38" t="inlineStr">
        <is>
          <t>Evidence</t>
        </is>
      </c>
    </row>
    <row r="10">
      <c r="A10" s="34" t="inlineStr">
        <is>
          <t>Full desktop</t>
        </is>
      </c>
      <c r="B10" s="34" t="inlineStr">
        <is>
          <t>chromium-desktop</t>
        </is>
      </c>
      <c r="C10" s="34" t="inlineStr">
        <is>
          <t>MS-ACC-001</t>
        </is>
      </c>
      <c r="D10" s="34" t="inlineStr">
        <is>
          <t>MS-ACC-001 order history lists the member's orders with a number and a date each @smoke</t>
        </is>
      </c>
      <c r="E10" s="35" t="inlineStr">
        <is>
          <t>expected</t>
        </is>
      </c>
      <c r="F10" s="34" t="n">
        <v>14952</v>
      </c>
      <c r="G10" s="34" t="inlineStr"/>
      <c r="H10" s="34" t="inlineStr">
        <is>
          <t>test-results/dev-2-full.json</t>
        </is>
      </c>
    </row>
    <row r="11">
      <c r="A11" s="34" t="inlineStr">
        <is>
          <t>Full desktop</t>
        </is>
      </c>
      <c r="B11" s="34" t="inlineStr">
        <is>
          <t>chromium-desktop</t>
        </is>
      </c>
      <c r="C11" s="34" t="inlineStr">
        <is>
          <t>MS-ACC-002</t>
        </is>
      </c>
      <c r="D11" s="34" t="inlineStr">
        <is>
          <t>MS-ACC-002 selecting an order opens that order, not a placeholder</t>
        </is>
      </c>
      <c r="E11" s="35" t="inlineStr">
        <is>
          <t>expected</t>
        </is>
      </c>
      <c r="F11" s="34" t="n">
        <v>14912</v>
      </c>
      <c r="G11" s="34" t="inlineStr"/>
      <c r="H11" s="34" t="inlineStr">
        <is>
          <t>test-results/dev-2-full.json</t>
        </is>
      </c>
    </row>
    <row r="12">
      <c r="A12" s="34" t="inlineStr">
        <is>
          <t>Full desktop</t>
        </is>
      </c>
      <c r="B12" s="34" t="inlineStr">
        <is>
          <t>chromium-desktop</t>
        </is>
      </c>
      <c r="C12" s="34" t="inlineStr">
        <is>
          <t>MS-ACC-003</t>
        </is>
      </c>
      <c r="D12" s="34" t="inlineStr">
        <is>
          <t>MS-ACC-003 the 진행 중 / 이전 내역 control switches which orders are listed</t>
        </is>
      </c>
      <c r="E12" s="35" t="inlineStr">
        <is>
          <t>expected</t>
        </is>
      </c>
      <c r="F12" s="34" t="n">
        <v>12388</v>
      </c>
      <c r="G12" s="34" t="inlineStr"/>
      <c r="H12" s="34" t="inlineStr">
        <is>
          <t>test-results/dev-2-full.json</t>
        </is>
      </c>
    </row>
    <row r="13">
      <c r="A13" s="34" t="inlineStr">
        <is>
          <t>Full desktop</t>
        </is>
      </c>
      <c r="B13" s="34" t="inlineStr">
        <is>
          <t>chromium-desktop</t>
        </is>
      </c>
      <c r="C13" s="34" t="inlineStr">
        <is>
          <t>MS-ACC-004</t>
        </is>
      </c>
      <c r="D13" s="34" t="inlineStr">
        <is>
          <t>MS-ACC-004 order search narrows the list to the order that was searched for</t>
        </is>
      </c>
      <c r="E13" s="35" t="inlineStr">
        <is>
          <t>expected</t>
        </is>
      </c>
      <c r="F13" s="34" t="n">
        <v>11739</v>
      </c>
      <c r="G13" s="34" t="inlineStr"/>
      <c r="H13" s="34" t="inlineStr">
        <is>
          <t>test-results/dev-2-full.json</t>
        </is>
      </c>
    </row>
    <row r="14">
      <c r="A14" s="34" t="inlineStr">
        <is>
          <t>Full desktop</t>
        </is>
      </c>
      <c r="B14" s="34" t="inlineStr">
        <is>
          <t>chromium-desktop</t>
        </is>
      </c>
      <c r="C14" s="34" t="inlineStr">
        <is>
          <t>MS-ACC-005</t>
        </is>
      </c>
      <c r="D14" s="34" t="inlineStr">
        <is>
          <t>MS-ACC-005 order history tools are present and named</t>
        </is>
      </c>
      <c r="E14" s="35" t="inlineStr">
        <is>
          <t>expected</t>
        </is>
      </c>
      <c r="F14" s="34" t="n">
        <v>7953</v>
      </c>
      <c r="G14" s="34" t="inlineStr"/>
      <c r="H14" s="34" t="inlineStr">
        <is>
          <t>test-results/dev-2-full.json</t>
        </is>
      </c>
    </row>
    <row r="15">
      <c r="A15" s="34" t="inlineStr">
        <is>
          <t>Full desktop</t>
        </is>
      </c>
      <c r="B15" s="34" t="inlineStr">
        <is>
          <t>chromium-desktop</t>
        </is>
      </c>
      <c r="C15" s="34" t="inlineStr">
        <is>
          <t>MS-AUTH-022</t>
        </is>
      </c>
      <c r="D15" s="34" t="inlineStr">
        <is>
          <t>MS-AUTH-022 account profile exposes the password change controls @smoke</t>
        </is>
      </c>
      <c r="E15" s="35" t="inlineStr">
        <is>
          <t>expected</t>
        </is>
      </c>
      <c r="F15" s="34" t="n">
        <v>9790</v>
      </c>
      <c r="G15" s="34" t="inlineStr"/>
      <c r="H15" s="34" t="inlineStr">
        <is>
          <t>test-results/dev-2-full.json</t>
        </is>
      </c>
    </row>
    <row r="16">
      <c r="A16" s="34" t="inlineStr">
        <is>
          <t>Full desktop</t>
        </is>
      </c>
      <c r="B16" s="34" t="inlineStr">
        <is>
          <t>chromium-desktop</t>
        </is>
      </c>
      <c r="C16" s="34" t="inlineStr">
        <is>
          <t>MS-AUTH-023</t>
        </is>
      </c>
      <c r="D16" s="34" t="inlineStr">
        <is>
          <t>MS-AUTH-023 change password stays disabled until every field is filled @validation</t>
        </is>
      </c>
      <c r="E16" s="35" t="inlineStr">
        <is>
          <t>expected</t>
        </is>
      </c>
      <c r="F16" s="34" t="n">
        <v>11962</v>
      </c>
      <c r="G16" s="34" t="inlineStr"/>
      <c r="H16" s="34" t="inlineStr">
        <is>
          <t>test-results/dev-2-full.json</t>
        </is>
      </c>
    </row>
    <row r="17">
      <c r="A17" s="34" t="inlineStr">
        <is>
          <t>Full desktop</t>
        </is>
      </c>
      <c r="B17" s="34" t="inlineStr">
        <is>
          <t>chromium-desktop</t>
        </is>
      </c>
      <c r="C17" s="34" t="inlineStr">
        <is>
          <t>MS-AUTH-024</t>
        </is>
      </c>
      <c r="D17" s="34" t="inlineStr">
        <is>
          <t>MS-AUTH-024 a mismatched confirmation is rejected @validation</t>
        </is>
      </c>
      <c r="E17" s="35" t="inlineStr">
        <is>
          <t>expected</t>
        </is>
      </c>
      <c r="F17" s="34" t="n">
        <v>14857</v>
      </c>
      <c r="G17" s="34" t="inlineStr"/>
      <c r="H17" s="34" t="inlineStr">
        <is>
          <t>test-results/dev-2-full.json</t>
        </is>
      </c>
    </row>
    <row r="18">
      <c r="A18" s="34" t="inlineStr">
        <is>
          <t>Full desktop</t>
        </is>
      </c>
      <c r="B18" s="34" t="inlineStr">
        <is>
          <t>chromium-desktop</t>
        </is>
      </c>
      <c r="C18" s="34" t="inlineStr">
        <is>
          <t>MS-AUTH-025</t>
        </is>
      </c>
      <c r="D18" s="34" t="inlineStr">
        <is>
          <t>MS-AUTH-025 a new password below the policy is rejected @validation</t>
        </is>
      </c>
      <c r="E18" s="35" t="inlineStr">
        <is>
          <t>expected</t>
        </is>
      </c>
      <c r="F18" s="34" t="n">
        <v>12884</v>
      </c>
      <c r="G18" s="34" t="inlineStr"/>
      <c r="H18" s="34" t="inlineStr">
        <is>
          <t>test-results/dev-2-full.json</t>
        </is>
      </c>
    </row>
    <row r="19">
      <c r="A19" s="34" t="inlineStr">
        <is>
          <t>Full desktop</t>
        </is>
      </c>
      <c r="B19" s="34" t="inlineStr">
        <is>
          <t>chromium-desktop</t>
        </is>
      </c>
      <c r="C19" s="34" t="inlineStr">
        <is>
          <t>MS-AUTH-026</t>
        </is>
      </c>
      <c r="D19" s="34" t="inlineStr">
        <is>
          <t>MS-AUTH-026 a wrong current password is rejected @validation</t>
        </is>
      </c>
      <c r="E19" s="35" t="inlineStr">
        <is>
          <t>expected</t>
        </is>
      </c>
      <c r="F19" s="34" t="n">
        <v>9399</v>
      </c>
      <c r="G19" s="34" t="inlineStr"/>
      <c r="H19" s="34" t="inlineStr">
        <is>
          <t>test-results/dev-2-full.json</t>
        </is>
      </c>
    </row>
    <row r="20">
      <c r="A20" s="34" t="inlineStr">
        <is>
          <t>Full desktop</t>
        </is>
      </c>
      <c r="B20" s="34" t="inlineStr">
        <is>
          <t>chromium-desktop</t>
        </is>
      </c>
      <c r="C20" s="34" t="inlineStr">
        <is>
          <t>MS-AUTH-029</t>
        </is>
      </c>
      <c r="D20" s="34" t="inlineStr">
        <is>
          <t>MS-AUTH-029 non-member mode swaps in the guest order-lookup form</t>
        </is>
      </c>
      <c r="E20" s="35" t="inlineStr">
        <is>
          <t>expected</t>
        </is>
      </c>
      <c r="F20" s="34" t="n">
        <v>10494</v>
      </c>
      <c r="G20" s="34" t="inlineStr"/>
      <c r="H20" s="34" t="inlineStr">
        <is>
          <t>test-results/dev-2-full.json</t>
        </is>
      </c>
    </row>
    <row r="21">
      <c r="A21" s="34" t="inlineStr">
        <is>
          <t>Full desktop</t>
        </is>
      </c>
      <c r="B21" s="34" t="inlineStr">
        <is>
          <t>chromium-desktop</t>
        </is>
      </c>
      <c r="C21" s="34" t="inlineStr">
        <is>
          <t>MS-AUTH-030</t>
        </is>
      </c>
      <c r="D21" s="34" t="inlineStr">
        <is>
          <t>MS-AUTH-030 an unknown order number is refused without signing anyone in</t>
        </is>
      </c>
      <c r="E21" s="35" t="inlineStr">
        <is>
          <t>expected</t>
        </is>
      </c>
      <c r="F21" s="34" t="n">
        <v>10741</v>
      </c>
      <c r="G21" s="34" t="inlineStr"/>
      <c r="H21" s="34" t="inlineStr">
        <is>
          <t>test-results/dev-2-full.json</t>
        </is>
      </c>
    </row>
    <row r="22">
      <c r="A22" s="34" t="inlineStr">
        <is>
          <t>Full desktop</t>
        </is>
      </c>
      <c r="B22" s="34" t="inlineStr">
        <is>
          <t>chromium-desktop</t>
        </is>
      </c>
      <c r="C22" s="34" t="inlineStr">
        <is>
          <t>MS-AUTH-031</t>
        </is>
      </c>
      <c r="D22" s="34" t="inlineStr">
        <is>
          <t>MS-AUTH-031 blank guest lookup is blocked before the endpoint is called @validation</t>
        </is>
      </c>
      <c r="E22" s="35" t="inlineStr">
        <is>
          <t>expected</t>
        </is>
      </c>
      <c r="F22" s="34" t="n">
        <v>10666</v>
      </c>
      <c r="G22" s="34" t="inlineStr"/>
      <c r="H22" s="34" t="inlineStr">
        <is>
          <t>test-results/dev-2-full.json</t>
        </is>
      </c>
    </row>
    <row r="23">
      <c r="A23" s="34" t="inlineStr">
        <is>
          <t>Full desktop</t>
        </is>
      </c>
      <c r="B23" s="34" t="inlineStr">
        <is>
          <t>chromium-desktop</t>
        </is>
      </c>
      <c r="C23" s="34" t="inlineStr">
        <is>
          <t>MS-AUTH-032</t>
        </is>
      </c>
      <c r="D23" s="34" t="inlineStr">
        <is>
          <t>MS-AUTH-032 the refusal does not reveal whether the email belongs to an account @credentialed</t>
        </is>
      </c>
      <c r="E23" s="35" t="inlineStr">
        <is>
          <t>expected</t>
        </is>
      </c>
      <c r="F23" s="34" t="n">
        <v>21889</v>
      </c>
      <c r="G23" s="34" t="inlineStr"/>
      <c r="H23" s="34" t="inlineStr">
        <is>
          <t>test-results/dev-2-full.json</t>
        </is>
      </c>
    </row>
    <row r="24">
      <c r="A24" s="34" t="inlineStr">
        <is>
          <t>Full desktop</t>
        </is>
      </c>
      <c r="B24" s="34" t="inlineStr">
        <is>
          <t>chromium-desktop</t>
        </is>
      </c>
      <c r="C24" s="34" t="inlineStr">
        <is>
          <t>MS-AUTH-001</t>
        </is>
      </c>
      <c r="D24" s="34" t="inlineStr">
        <is>
          <t>MS-AUTH-001 account navigation opens login</t>
        </is>
      </c>
      <c r="E24" s="35" t="inlineStr">
        <is>
          <t>expected</t>
        </is>
      </c>
      <c r="F24" s="34" t="n">
        <v>11007</v>
      </c>
      <c r="G24" s="34" t="inlineStr"/>
      <c r="H24" s="34" t="inlineStr">
        <is>
          <t>test-results/dev-2-full.json</t>
        </is>
      </c>
    </row>
    <row r="25">
      <c r="A25" s="34" t="inlineStr">
        <is>
          <t>Full desktop</t>
        </is>
      </c>
      <c r="B25" s="34" t="inlineStr">
        <is>
          <t>chromium-desktop</t>
        </is>
      </c>
      <c r="C25" s="34" t="inlineStr">
        <is>
          <t>MS-AUTH-002</t>
        </is>
      </c>
      <c r="D25" s="34" t="inlineStr">
        <is>
          <t>MS-AUTH-002 member login form exposes expected controls</t>
        </is>
      </c>
      <c r="E25" s="35" t="inlineStr">
        <is>
          <t>expected</t>
        </is>
      </c>
      <c r="F25" s="34" t="n">
        <v>10598</v>
      </c>
      <c r="G25" s="34" t="inlineStr"/>
      <c r="H25" s="34" t="inlineStr">
        <is>
          <t>test-results/dev-2-full.json</t>
        </is>
      </c>
    </row>
    <row r="26">
      <c r="A26" s="34" t="inlineStr">
        <is>
          <t>Full desktop</t>
        </is>
      </c>
      <c r="B26" s="34" t="inlineStr">
        <is>
          <t>chromium-desktop</t>
        </is>
      </c>
      <c r="C26" s="34" t="inlineStr">
        <is>
          <t>MS-AUTH-003</t>
        </is>
      </c>
      <c r="D26" s="34" t="inlineStr">
        <is>
          <t>MS-AUTH-003 blank login is blocked before the auth endpoint is called @validation</t>
        </is>
      </c>
      <c r="E26" s="35" t="inlineStr">
        <is>
          <t>expected</t>
        </is>
      </c>
      <c r="F26" s="34" t="n">
        <v>10717</v>
      </c>
      <c r="G26" s="34" t="inlineStr"/>
      <c r="H26" s="34" t="inlineStr">
        <is>
          <t>test-results/dev-2-full.json</t>
        </is>
      </c>
    </row>
    <row r="27">
      <c r="A27" s="34" t="inlineStr">
        <is>
          <t>Full desktop</t>
        </is>
      </c>
      <c r="B27" s="34" t="inlineStr">
        <is>
          <t>chromium-desktop</t>
        </is>
      </c>
      <c r="C27" s="34" t="inlineStr">
        <is>
          <t>MS-AUTH-004</t>
        </is>
      </c>
      <c r="D27" s="34" t="inlineStr">
        <is>
          <t>MS-AUTH-004 malformed email is rejected without starting an auth session @validation</t>
        </is>
      </c>
      <c r="E27" s="35" t="inlineStr">
        <is>
          <t>expected</t>
        </is>
      </c>
      <c r="F27" s="34" t="n">
        <v>12800</v>
      </c>
      <c r="G27" s="34" t="inlineStr"/>
      <c r="H27" s="34" t="inlineStr">
        <is>
          <t>test-results/dev-2-full.json</t>
        </is>
      </c>
    </row>
    <row r="28">
      <c r="A28" s="34" t="inlineStr">
        <is>
          <t>Full desktop</t>
        </is>
      </c>
      <c r="B28" s="34" t="inlineStr">
        <is>
          <t>chromium-desktop</t>
        </is>
      </c>
      <c r="C28" s="34" t="inlineStr">
        <is>
          <t>MS-AUTH-005</t>
        </is>
      </c>
      <c r="D28" s="34" t="inlineStr">
        <is>
          <t>MS-AUTH-005 invalid credentials fail safely and keep the user anonymous @validation</t>
        </is>
      </c>
      <c r="E28" s="37" t="inlineStr">
        <is>
          <t>unexpected</t>
        </is>
      </c>
      <c r="F28" s="34" t="n">
        <v>22595</v>
      </c>
      <c r="G28" s="34" t="inlineStr">
        <is>
          <t>Error: Unexpected browser console errors or warnings</t>
        </is>
      </c>
      <c r="H28" s="34" t="inlineStr">
        <is>
          <t>test-results/dev-2-full.json</t>
        </is>
      </c>
    </row>
    <row r="29">
      <c r="A29" s="34" t="inlineStr">
        <is>
          <t>Full desktop</t>
        </is>
      </c>
      <c r="B29" s="34" t="inlineStr">
        <is>
          <t>chromium-desktop</t>
        </is>
      </c>
      <c r="C29" s="34" t="inlineStr">
        <is>
          <t>MS-AUTH-007</t>
        </is>
      </c>
      <c r="D29" s="34" t="inlineStr">
        <is>
          <t>MS-AUTH-007 forgot-password recovery opens and validates its email input @validation</t>
        </is>
      </c>
      <c r="E29" s="35" t="inlineStr">
        <is>
          <t>expected</t>
        </is>
      </c>
      <c r="F29" s="34" t="n">
        <v>11251</v>
      </c>
      <c r="G29" s="34" t="inlineStr"/>
      <c r="H29" s="34" t="inlineStr">
        <is>
          <t>test-results/dev-2-full.json</t>
        </is>
      </c>
    </row>
    <row r="30">
      <c r="A30" s="34" t="inlineStr">
        <is>
          <t>Full desktop</t>
        </is>
      </c>
      <c r="B30" s="34" t="inlineStr">
        <is>
          <t>chromium-desktop</t>
        </is>
      </c>
      <c r="C30" s="34" t="inlineStr">
        <is>
          <t>MS-AUTH-006</t>
        </is>
      </c>
      <c r="D30" s="34" t="inlineStr">
        <is>
          <t>MS-AUTH-006 password visibility toggle masks and unmasks password</t>
        </is>
      </c>
      <c r="E30" s="35" t="inlineStr">
        <is>
          <t>expected</t>
        </is>
      </c>
      <c r="F30" s="34" t="n">
        <v>10545</v>
      </c>
      <c r="G30" s="34" t="inlineStr"/>
      <c r="H30" s="34" t="inlineStr">
        <is>
          <t>test-results/dev-2-full.json</t>
        </is>
      </c>
    </row>
    <row r="31">
      <c r="A31" s="34" t="inlineStr">
        <is>
          <t>Full desktop</t>
        </is>
      </c>
      <c r="B31" s="34" t="inlineStr">
        <is>
          <t>chromium-desktop</t>
        </is>
      </c>
      <c r="C31" s="34" t="inlineStr">
        <is>
          <t>MS-AUTH-008</t>
        </is>
      </c>
      <c r="D31" s="34" t="inlineStr">
        <is>
          <t>MS-AUTH-008 register entry is reachable from login</t>
        </is>
      </c>
      <c r="E31" s="35" t="inlineStr">
        <is>
          <t>expected</t>
        </is>
      </c>
      <c r="F31" s="34" t="n">
        <v>10921</v>
      </c>
      <c r="G31" s="34" t="inlineStr"/>
      <c r="H31" s="34" t="inlineStr">
        <is>
          <t>test-results/dev-2-full.json</t>
        </is>
      </c>
    </row>
    <row r="32">
      <c r="A32" s="34" t="inlineStr">
        <is>
          <t>Full desktop</t>
        </is>
      </c>
      <c r="B32" s="34" t="inlineStr">
        <is>
          <t>chromium-desktop</t>
        </is>
      </c>
      <c r="C32" s="34" t="inlineStr">
        <is>
          <t>MS-AUTH-009</t>
        </is>
      </c>
      <c r="D32" s="34" t="inlineStr">
        <is>
          <t>MS-AUTH-009 seeded member can log in @credentialed</t>
        </is>
      </c>
      <c r="E32" s="35" t="inlineStr">
        <is>
          <t>expected</t>
        </is>
      </c>
      <c r="F32" s="34" t="n">
        <v>12383</v>
      </c>
      <c r="G32" s="34" t="inlineStr"/>
      <c r="H32" s="34" t="inlineStr">
        <is>
          <t>test-results/dev-2-full.json</t>
        </is>
      </c>
    </row>
    <row r="33">
      <c r="A33" s="34" t="inlineStr">
        <is>
          <t>Full desktop</t>
        </is>
      </c>
      <c r="B33" s="34" t="inlineStr">
        <is>
          <t>chromium-desktop</t>
        </is>
      </c>
      <c r="C33" s="34" t="inlineStr">
        <is>
          <t>MS-AUTH-028</t>
        </is>
      </c>
      <c r="D33" s="34" t="inlineStr">
        <is>
          <t>MS-AUTH-028 a member-only route is not reachable anonymously</t>
        </is>
      </c>
      <c r="E33" s="35" t="inlineStr">
        <is>
          <t>expected</t>
        </is>
      </c>
      <c r="F33" s="34" t="n">
        <v>8551</v>
      </c>
      <c r="G33" s="34" t="inlineStr"/>
      <c r="H33" s="34" t="inlineStr">
        <is>
          <t>test-results/dev-2-full.json</t>
        </is>
      </c>
    </row>
    <row r="34">
      <c r="A34" s="34" t="inlineStr">
        <is>
          <t>Full desktop</t>
        </is>
      </c>
      <c r="B34" s="34" t="inlineStr">
        <is>
          <t>chromium-desktop</t>
        </is>
      </c>
      <c r="C34" s="34" t="inlineStr">
        <is>
          <t>MS-AUTH-010</t>
        </is>
      </c>
      <c r="D34" s="34" t="inlineStr">
        <is>
          <t>MS-AUTH-010 session persists across reload and navigation, and logout clears it @credentialed</t>
        </is>
      </c>
      <c r="E34" s="35" t="inlineStr">
        <is>
          <t>expected</t>
        </is>
      </c>
      <c r="F34" s="34" t="n">
        <v>23936</v>
      </c>
      <c r="G34" s="34" t="inlineStr"/>
      <c r="H34" s="34" t="inlineStr">
        <is>
          <t>test-results/dev-2-full.json</t>
        </is>
      </c>
    </row>
    <row r="35">
      <c r="A35" s="34" t="inlineStr">
        <is>
          <t>Full desktop</t>
        </is>
      </c>
      <c r="B35" s="34" t="inlineStr">
        <is>
          <t>chromium-desktop</t>
        </is>
      </c>
      <c r="C35" s="34" t="inlineStr">
        <is>
          <t>MS-AUTH-012</t>
        </is>
      </c>
      <c r="D35" s="34" t="inlineStr">
        <is>
          <t>MS-AUTH-012 register form exposes expected controls @smoke</t>
        </is>
      </c>
      <c r="E35" s="35" t="inlineStr">
        <is>
          <t>expected</t>
        </is>
      </c>
      <c r="F35" s="34" t="n">
        <v>10776</v>
      </c>
      <c r="G35" s="34" t="inlineStr"/>
      <c r="H35" s="34" t="inlineStr">
        <is>
          <t>test-results/dev-2-full.json</t>
        </is>
      </c>
    </row>
    <row r="36">
      <c r="A36" s="34" t="inlineStr">
        <is>
          <t>Full desktop</t>
        </is>
      </c>
      <c r="B36" s="34" t="inlineStr">
        <is>
          <t>chromium-desktop</t>
        </is>
      </c>
      <c r="C36" s="34" t="inlineStr">
        <is>
          <t>MS-AUTH-013</t>
        </is>
      </c>
      <c r="D36" s="34" t="inlineStr">
        <is>
          <t>MS-AUTH-013 blank register submit is blocked with required-field validation @validation</t>
        </is>
      </c>
      <c r="E36" s="35" t="inlineStr">
        <is>
          <t>expected</t>
        </is>
      </c>
      <c r="F36" s="34" t="n">
        <v>10621</v>
      </c>
      <c r="G36" s="34" t="inlineStr"/>
      <c r="H36" s="34" t="inlineStr">
        <is>
          <t>test-results/dev-2-full.json</t>
        </is>
      </c>
    </row>
    <row r="37">
      <c r="A37" s="34" t="inlineStr">
        <is>
          <t>Full desktop</t>
        </is>
      </c>
      <c r="B37" s="34" t="inlineStr">
        <is>
          <t>chromium-desktop</t>
        </is>
      </c>
      <c r="C37" s="34" t="inlineStr">
        <is>
          <t>MS-AUTH-014</t>
        </is>
      </c>
      <c r="D37" s="34" t="inlineStr">
        <is>
          <t>MS-AUTH-014 malformed email is rejected before any account is requested @validation</t>
        </is>
      </c>
      <c r="E37" s="35" t="inlineStr">
        <is>
          <t>expected</t>
        </is>
      </c>
      <c r="F37" s="34" t="n">
        <v>10668</v>
      </c>
      <c r="G37" s="34" t="inlineStr"/>
      <c r="H37" s="34" t="inlineStr">
        <is>
          <t>test-results/dev-2-full.json</t>
        </is>
      </c>
    </row>
    <row r="38">
      <c r="A38" s="34" t="inlineStr">
        <is>
          <t>Full desktop</t>
        </is>
      </c>
      <c r="B38" s="34" t="inlineStr">
        <is>
          <t>chromium-desktop</t>
        </is>
      </c>
      <c r="C38" s="34" t="inlineStr">
        <is>
          <t>MS-AUTH-015</t>
        </is>
      </c>
      <c r="D38" s="34" t="inlineStr">
        <is>
          <t>MS-AUTH-015 password below the stated policy is rejected @validation</t>
        </is>
      </c>
      <c r="E38" s="35" t="inlineStr">
        <is>
          <t>expected</t>
        </is>
      </c>
      <c r="F38" s="34" t="n">
        <v>10649</v>
      </c>
      <c r="G38" s="34" t="inlineStr"/>
      <c r="H38" s="34" t="inlineStr">
        <is>
          <t>test-results/dev-2-full.json</t>
        </is>
      </c>
    </row>
    <row r="39">
      <c r="A39" s="34" t="inlineStr">
        <is>
          <t>Full desktop</t>
        </is>
      </c>
      <c r="B39" s="34" t="inlineStr">
        <is>
          <t>chromium-desktop</t>
        </is>
      </c>
      <c r="C39" s="34" t="inlineStr">
        <is>
          <t>MS-AUTH-016</t>
        </is>
      </c>
      <c r="D39" s="34" t="inlineStr">
        <is>
          <t>MS-AUTH-016 registration is blocked until the terms checkbox is agreed @validation</t>
        </is>
      </c>
      <c r="E39" s="35" t="inlineStr">
        <is>
          <t>expected</t>
        </is>
      </c>
      <c r="F39" s="34" t="n">
        <v>12944</v>
      </c>
      <c r="G39" s="34" t="inlineStr"/>
      <c r="H39" s="34" t="inlineStr">
        <is>
          <t>test-results/dev-2-full.json</t>
        </is>
      </c>
    </row>
    <row r="40">
      <c r="A40" s="34" t="inlineStr">
        <is>
          <t>Full desktop</t>
        </is>
      </c>
      <c r="B40" s="34" t="inlineStr">
        <is>
          <t>chromium-desktop</t>
        </is>
      </c>
      <c r="C40" s="34" t="inlineStr">
        <is>
          <t>MS-AUTH-017</t>
        </is>
      </c>
      <c r="D40" s="34" t="inlineStr">
        <is>
          <t>MS-AUTH-017 register password visibility toggle masks and unmasks</t>
        </is>
      </c>
      <c r="E40" s="35" t="inlineStr">
        <is>
          <t>expected</t>
        </is>
      </c>
      <c r="F40" s="34" t="n">
        <v>10463</v>
      </c>
      <c r="G40" s="34" t="inlineStr"/>
      <c r="H40" s="34" t="inlineStr">
        <is>
          <t>test-results/dev-2-full.json</t>
        </is>
      </c>
    </row>
    <row r="41">
      <c r="A41" s="34" t="inlineStr">
        <is>
          <t>Full desktop</t>
        </is>
      </c>
      <c r="B41" s="34" t="inlineStr">
        <is>
          <t>chromium-desktop</t>
        </is>
      </c>
      <c r="C41" s="34" t="inlineStr">
        <is>
          <t>MS-AUTH-018</t>
        </is>
      </c>
      <c r="D41" s="34" t="inlineStr">
        <is>
          <t>MS-AUTH-018 login entry is reachable from register</t>
        </is>
      </c>
      <c r="E41" s="35" t="inlineStr">
        <is>
          <t>expected</t>
        </is>
      </c>
      <c r="F41" s="34" t="n">
        <v>11235</v>
      </c>
      <c r="G41" s="34" t="inlineStr"/>
      <c r="H41" s="34" t="inlineStr">
        <is>
          <t>test-results/dev-2-full.json</t>
        </is>
      </c>
    </row>
    <row r="42">
      <c r="A42" s="34" t="inlineStr">
        <is>
          <t>Full desktop</t>
        </is>
      </c>
      <c r="B42" s="34" t="inlineStr">
        <is>
          <t>chromium-desktop</t>
        </is>
      </c>
      <c r="C42" s="34" t="inlineStr">
        <is>
          <t>MS-AUTH-019</t>
        </is>
      </c>
      <c r="D42" s="34" t="inlineStr">
        <is>
          <t>MS-AUTH-019 registering an existing email offers sign-in instead of a duplicate account @credentialed</t>
        </is>
      </c>
      <c r="E42" s="35" t="inlineStr">
        <is>
          <t>expected</t>
        </is>
      </c>
      <c r="F42" s="34" t="n">
        <v>10857</v>
      </c>
      <c r="G42" s="34" t="inlineStr"/>
      <c r="H42" s="34" t="inlineStr">
        <is>
          <t>test-results/dev-2-full.json</t>
        </is>
      </c>
    </row>
    <row r="43">
      <c r="A43" s="34" t="inlineStr">
        <is>
          <t>Full desktop</t>
        </is>
      </c>
      <c r="B43" s="34" t="inlineStr">
        <is>
          <t>chromium-desktop</t>
        </is>
      </c>
      <c r="C43" s="34" t="inlineStr">
        <is>
          <t>MS-CRT-001</t>
        </is>
      </c>
      <c r="D43" s="34" t="inlineStr">
        <is>
          <t>MS-CRT-001 removing the only line item leaves an empty cart, not a broken one</t>
        </is>
      </c>
      <c r="E43" s="35" t="inlineStr">
        <is>
          <t>expected</t>
        </is>
      </c>
      <c r="F43" s="34" t="n">
        <v>25332</v>
      </c>
      <c r="G43" s="34" t="inlineStr"/>
      <c r="H43" s="34" t="inlineStr">
        <is>
          <t>test-results/dev-2-full.json</t>
        </is>
      </c>
    </row>
    <row r="44">
      <c r="A44" s="34" t="inlineStr">
        <is>
          <t>Full desktop</t>
        </is>
      </c>
      <c r="B44" s="34" t="inlineStr">
        <is>
          <t>chromium-desktop</t>
        </is>
      </c>
      <c r="C44" s="34" t="inlineStr">
        <is>
          <t>MS-CRT-002</t>
        </is>
      </c>
      <c r="D44" s="34" t="inlineStr">
        <is>
          <t>MS-CRT-002 two distinct products become two lines whose prices sum to the cart total</t>
        </is>
      </c>
      <c r="E44" s="35" t="inlineStr">
        <is>
          <t>expected</t>
        </is>
      </c>
      <c r="F44" s="34" t="n">
        <v>23127</v>
      </c>
      <c r="G44" s="34" t="inlineStr"/>
      <c r="H44" s="34" t="inlineStr">
        <is>
          <t>test-results/dev-2-full.json</t>
        </is>
      </c>
    </row>
    <row r="45">
      <c r="A45" s="34" t="inlineStr">
        <is>
          <t>Full desktop</t>
        </is>
      </c>
      <c r="B45" s="34" t="inlineStr">
        <is>
          <t>chromium-desktop</t>
        </is>
      </c>
      <c r="C45" s="34" t="inlineStr">
        <is>
          <t>MS-CRT-003</t>
        </is>
      </c>
      <c r="D45" s="34" t="inlineStr">
        <is>
          <t>MS-CRT-003 a guest cart survives a full page reload @smoke</t>
        </is>
      </c>
      <c r="E45" s="35" t="inlineStr">
        <is>
          <t>expected</t>
        </is>
      </c>
      <c r="F45" s="34" t="n">
        <v>24178</v>
      </c>
      <c r="G45" s="34" t="inlineStr"/>
      <c r="H45" s="34" t="inlineStr">
        <is>
          <t>test-results/dev-2-full.json</t>
        </is>
      </c>
    </row>
    <row r="46">
      <c r="A46" s="34" t="inlineStr">
        <is>
          <t>Full desktop</t>
        </is>
      </c>
      <c r="B46" s="34" t="inlineStr">
        <is>
          <t>chromium-desktop</t>
        </is>
      </c>
      <c r="C46" s="34" t="inlineStr">
        <is>
          <t>MS-CRT-004</t>
        </is>
      </c>
      <c r="D46" s="34" t="inlineStr">
        <is>
          <t>MS-CRT-004 the cart page confirms a removal before acting on it</t>
        </is>
      </c>
      <c r="E46" s="35" t="inlineStr">
        <is>
          <t>expected</t>
        </is>
      </c>
      <c r="F46" s="34" t="n">
        <v>16798</v>
      </c>
      <c r="G46" s="34" t="inlineStr"/>
      <c r="H46" s="34" t="inlineStr">
        <is>
          <t>test-results/dev-2-full.json</t>
        </is>
      </c>
    </row>
    <row r="47">
      <c r="A47" s="34" t="inlineStr">
        <is>
          <t>Full desktop</t>
        </is>
      </c>
      <c r="B47" s="34" t="inlineStr">
        <is>
          <t>chromium-desktop</t>
        </is>
      </c>
      <c r="C47" s="34" t="inlineStr">
        <is>
          <t>MS-CRT-006</t>
        </is>
      </c>
      <c r="D47" s="34" t="inlineStr">
        <is>
          <t>MS-CRT-006 an empty cart page offers a way back into the catalog</t>
        </is>
      </c>
      <c r="E47" s="35" t="inlineStr">
        <is>
          <t>expected</t>
        </is>
      </c>
      <c r="F47" s="34" t="n">
        <v>9471</v>
      </c>
      <c r="G47" s="34" t="inlineStr"/>
      <c r="H47" s="34" t="inlineStr">
        <is>
          <t>test-results/dev-2-full.json</t>
        </is>
      </c>
    </row>
    <row r="48">
      <c r="A48" s="34" t="inlineStr">
        <is>
          <t>Full desktop</t>
        </is>
      </c>
      <c r="B48" s="34" t="inlineStr">
        <is>
          <t>chromium-desktop</t>
        </is>
      </c>
      <c r="C48" s="34" t="inlineStr">
        <is>
          <t>MS-CHK-002</t>
        </is>
      </c>
      <c r="D48" s="34" t="inlineStr">
        <is>
          <t>MS-CHK-002 checkout page renders shipping, payment, and order summary without submitting</t>
        </is>
      </c>
      <c r="E48" s="35" t="inlineStr">
        <is>
          <t>expected</t>
        </is>
      </c>
      <c r="F48" s="34" t="n">
        <v>44292</v>
      </c>
      <c r="G48" s="34" t="inlineStr"/>
      <c r="H48" s="34" t="inlineStr">
        <is>
          <t>test-results/dev-2-full.json</t>
        </is>
      </c>
    </row>
    <row r="49">
      <c r="A49" s="34" t="inlineStr">
        <is>
          <t>Full desktop</t>
        </is>
      </c>
      <c r="B49" s="34" t="inlineStr">
        <is>
          <t>chromium-desktop</t>
        </is>
      </c>
      <c r="C49" s="34" t="inlineStr">
        <is>
          <t>MS-CHK-003</t>
        </is>
      </c>
      <c r="D49" s="34" t="inlineStr">
        <is>
          <t>MS-CHK-003 checkout blocks payment submission when required fields are blank</t>
        </is>
      </c>
      <c r="E49" s="37" t="inlineStr">
        <is>
          <t>unexpected</t>
        </is>
      </c>
      <c r="F49" s="34" t="n">
        <v>48936</v>
      </c>
      <c r="G49" s="34" t="inlineStr">
        <is>
          <t>Error: Blank checkout must expose a validation failure before it can be considered blocked | Error: Unexpected browser console errors or warnings</t>
        </is>
      </c>
      <c r="H49" s="34" t="inlineStr">
        <is>
          <t>test-results/dev-2-full.json</t>
        </is>
      </c>
    </row>
    <row r="50">
      <c r="A50" s="34" t="inlineStr">
        <is>
          <t>Full desktop</t>
        </is>
      </c>
      <c r="B50" s="34" t="inlineStr">
        <is>
          <t>chromium-desktop</t>
        </is>
      </c>
      <c r="C50" s="34" t="inlineStr">
        <is>
          <t>MS-CHK-004</t>
        </is>
      </c>
      <c r="D50" s="34" t="inlineStr">
        <is>
          <t>MS-CHK-004 the quoted price survives product page, cart, and checkout unchanged</t>
        </is>
      </c>
      <c r="E50" s="35" t="inlineStr">
        <is>
          <t>expected</t>
        </is>
      </c>
      <c r="F50" s="34" t="n">
        <v>19234</v>
      </c>
      <c r="G50" s="34" t="inlineStr"/>
      <c r="H50" s="34" t="inlineStr">
        <is>
          <t>test-results/dev-2-full.json</t>
        </is>
      </c>
    </row>
    <row r="51">
      <c r="A51" s="34" t="inlineStr">
        <is>
          <t>Full desktop</t>
        </is>
      </c>
      <c r="B51" s="34" t="inlineStr">
        <is>
          <t>chromium-desktop</t>
        </is>
      </c>
      <c r="C51" s="34" t="inlineStr">
        <is>
          <t>MS-CHK-005</t>
        </is>
      </c>
      <c r="D51" s="34" t="inlineStr">
        <is>
          <t>MS-CHK-005 an order below the free-shipping threshold is charged shipping</t>
        </is>
      </c>
      <c r="E51" s="35" t="inlineStr">
        <is>
          <t>expected</t>
        </is>
      </c>
      <c r="F51" s="34" t="n">
        <v>12879</v>
      </c>
      <c r="G51" s="34" t="inlineStr"/>
      <c r="H51" s="34" t="inlineStr">
        <is>
          <t>test-results/dev-2-full.json</t>
        </is>
      </c>
    </row>
    <row r="52">
      <c r="A52" s="34" t="inlineStr">
        <is>
          <t>Full desktop</t>
        </is>
      </c>
      <c r="B52" s="34" t="inlineStr">
        <is>
          <t>chromium-desktop</t>
        </is>
      </c>
      <c r="C52" s="34" t="inlineStr">
        <is>
          <t>MS-CHK-006</t>
        </is>
      </c>
      <c r="D52" s="34" t="inlineStr">
        <is>
          <t>MS-CHK-006 an order at or above the free-shipping threshold ships free</t>
        </is>
      </c>
      <c r="E52" s="35" t="inlineStr">
        <is>
          <t>expected</t>
        </is>
      </c>
      <c r="F52" s="34" t="n">
        <v>16313</v>
      </c>
      <c r="G52" s="34" t="inlineStr"/>
      <c r="H52" s="34" t="inlineStr">
        <is>
          <t>test-results/dev-2-full.json</t>
        </is>
      </c>
    </row>
    <row r="53">
      <c r="A53" s="34" t="inlineStr">
        <is>
          <t>Full desktop</t>
        </is>
      </c>
      <c r="B53" s="34" t="inlineStr">
        <is>
          <t>chromium-desktop</t>
        </is>
      </c>
      <c r="C53" s="34" t="inlineStr">
        <is>
          <t>MS-CFG-026</t>
        </is>
      </c>
      <c r="D53" s="34" t="inlineStr">
        <is>
          <t>MS-CFG-026 다음 단계 offers three ways to order: with a file, in the studio, or file later</t>
        </is>
      </c>
      <c r="E53" s="35" t="inlineStr">
        <is>
          <t>expected</t>
        </is>
      </c>
      <c r="F53" s="34" t="n">
        <v>17221</v>
      </c>
      <c r="G53" s="34" t="inlineStr"/>
      <c r="H53" s="34" t="inlineStr">
        <is>
          <t>test-results/dev-2-full.json</t>
        </is>
      </c>
    </row>
    <row r="54">
      <c r="A54" s="34" t="inlineStr">
        <is>
          <t>Full desktop</t>
        </is>
      </c>
      <c r="B54" s="34" t="inlineStr">
        <is>
          <t>chromium-desktop</t>
        </is>
      </c>
      <c r="C54" s="34" t="inlineStr">
        <is>
          <t>MS-CFG-027</t>
        </is>
      </c>
      <c r="D54" s="34" t="inlineStr">
        <is>
          <t>MS-CFG-027 the studio keeps the configured size and quantity and prices every tier 5% below the configurator</t>
        </is>
      </c>
      <c r="E54" s="35" t="inlineStr">
        <is>
          <t>expected</t>
        </is>
      </c>
      <c r="F54" s="34" t="n">
        <v>25551</v>
      </c>
      <c r="G54" s="34" t="inlineStr"/>
      <c r="H54" s="34" t="inlineStr">
        <is>
          <t>test-results/dev-2-full.json</t>
        </is>
      </c>
    </row>
    <row r="55">
      <c r="A55" s="34" t="inlineStr">
        <is>
          <t>Full desktop</t>
        </is>
      </c>
      <c r="B55" s="34" t="inlineStr">
        <is>
          <t>chromium-desktop</t>
        </is>
      </c>
      <c r="C55" s="34" t="inlineStr">
        <is>
          <t>MS-CFG-028</t>
        </is>
      </c>
      <c r="D55" s="34" t="inlineStr">
        <is>
          <t>MS-CFG-028 the studio refuses a low-resolution design and accepts a print-quality one</t>
        </is>
      </c>
      <c r="E55" s="35" t="inlineStr">
        <is>
          <t>expected</t>
        </is>
      </c>
      <c r="F55" s="34" t="n">
        <v>31437</v>
      </c>
      <c r="G55" s="34" t="inlineStr"/>
      <c r="H55" s="34" t="inlineStr">
        <is>
          <t>test-results/dev-2-full.json</t>
        </is>
      </c>
    </row>
    <row r="56">
      <c r="A56" s="34" t="inlineStr">
        <is>
          <t>Full desktop</t>
        </is>
      </c>
      <c r="B56" s="34" t="inlineStr">
        <is>
          <t>chromium-desktop</t>
        </is>
      </c>
      <c r="C56" s="34" t="inlineStr">
        <is>
          <t>MS-CFG-001</t>
        </is>
      </c>
      <c r="D56" s="34" t="inlineStr">
        <is>
          <t>MS-CFG-001 die-cut sticker supports size and quantity selection</t>
        </is>
      </c>
      <c r="E56" s="35" t="inlineStr">
        <is>
          <t>expected</t>
        </is>
      </c>
      <c r="F56" s="34" t="n">
        <v>19703</v>
      </c>
      <c r="G56" s="34" t="inlineStr"/>
      <c r="H56" s="34" t="inlineStr">
        <is>
          <t>test-results/dev-2-full.json</t>
        </is>
      </c>
    </row>
    <row r="57">
      <c r="A57" s="34" t="inlineStr">
        <is>
          <t>Full desktop</t>
        </is>
      </c>
      <c r="B57" s="34" t="inlineStr">
        <is>
          <t>chromium-desktop</t>
        </is>
      </c>
      <c r="C57" s="34" t="inlineStr">
        <is>
          <t>MS-CFG-002</t>
        </is>
      </c>
      <c r="D57" s="34" t="inlineStr">
        <is>
          <t>MS-CFG-002 die-cut roll sticker supports size and quantity selection</t>
        </is>
      </c>
      <c r="E57" s="35" t="inlineStr">
        <is>
          <t>expected</t>
        </is>
      </c>
      <c r="F57" s="34" t="n">
        <v>11590</v>
      </c>
      <c r="G57" s="34" t="inlineStr"/>
      <c r="H57" s="34" t="inlineStr">
        <is>
          <t>test-results/dev-2-full.json</t>
        </is>
      </c>
    </row>
    <row r="58">
      <c r="A58" s="34" t="inlineStr">
        <is>
          <t>Full desktop</t>
        </is>
      </c>
      <c r="B58" s="34" t="inlineStr">
        <is>
          <t>chromium-desktop</t>
        </is>
      </c>
      <c r="C58" s="34" t="inlineStr">
        <is>
          <t>MS-CFG-003</t>
        </is>
      </c>
      <c r="D58" s="34" t="inlineStr">
        <is>
          <t>MS-CFG-003 die-cut sheet sticker supports material, sheet size, and quantity selection</t>
        </is>
      </c>
      <c r="E58" s="35" t="inlineStr">
        <is>
          <t>expected</t>
        </is>
      </c>
      <c r="F58" s="34" t="n">
        <v>12670</v>
      </c>
      <c r="G58" s="34" t="inlineStr"/>
      <c r="H58" s="34" t="inlineStr">
        <is>
          <t>test-results/dev-2-full.json</t>
        </is>
      </c>
    </row>
    <row r="59">
      <c r="A59" s="34" t="inlineStr">
        <is>
          <t>Full desktop</t>
        </is>
      </c>
      <c r="B59" s="34" t="inlineStr">
        <is>
          <t>chromium-desktop</t>
        </is>
      </c>
      <c r="C59" s="34" t="inlineStr">
        <is>
          <t>MS-CFG-004</t>
        </is>
      </c>
      <c r="D59" s="34" t="inlineStr">
        <is>
          <t>MS-CFG-004 custom size and quantity controls are reachable</t>
        </is>
      </c>
      <c r="E59" s="35" t="inlineStr">
        <is>
          <t>expected</t>
        </is>
      </c>
      <c r="F59" s="34" t="n">
        <v>13728</v>
      </c>
      <c r="G59" s="34" t="inlineStr"/>
      <c r="H59" s="34" t="inlineStr">
        <is>
          <t>test-results/dev-2-full.json</t>
        </is>
      </c>
    </row>
    <row r="60">
      <c r="A60" s="34" t="inlineStr">
        <is>
          <t>Full desktop</t>
        </is>
      </c>
      <c r="B60" s="34" t="inlineStr">
        <is>
          <t>chromium-desktop</t>
        </is>
      </c>
      <c r="C60" s="34" t="inlineStr">
        <is>
          <t>MS-CFG-005</t>
        </is>
      </c>
      <c r="D60" s="34" t="inlineStr">
        <is>
          <t>MS-CFG-005 product trust and delivery promises are visible</t>
        </is>
      </c>
      <c r="E60" s="35" t="inlineStr">
        <is>
          <t>expected</t>
        </is>
      </c>
      <c r="F60" s="34" t="n">
        <v>10867</v>
      </c>
      <c r="G60" s="34" t="inlineStr"/>
      <c r="H60" s="34" t="inlineStr">
        <is>
          <t>test-results/dev-2-full.json</t>
        </is>
      </c>
    </row>
    <row r="61">
      <c r="A61" s="34" t="inlineStr">
        <is>
          <t>Full desktop</t>
        </is>
      </c>
      <c r="B61" s="34" t="inlineStr">
        <is>
          <t>chromium-desktop</t>
        </is>
      </c>
      <c r="C61" s="34" t="inlineStr">
        <is>
          <t>MS-CFG-006</t>
        </is>
      </c>
      <c r="D61" s="34" t="inlineStr">
        <is>
          <t>MS-CFG-006 product review carousel is usable</t>
        </is>
      </c>
      <c r="E61" s="35" t="inlineStr">
        <is>
          <t>expected</t>
        </is>
      </c>
      <c r="F61" s="34" t="n">
        <v>16946</v>
      </c>
      <c r="G61" s="34" t="inlineStr"/>
      <c r="H61" s="34" t="inlineStr">
        <is>
          <t>test-results/dev-2-full.json</t>
        </is>
      </c>
    </row>
    <row r="62">
      <c r="A62" s="34" t="inlineStr">
        <is>
          <t>Full desktop</t>
        </is>
      </c>
      <c r="B62" s="34" t="inlineStr">
        <is>
          <t>chromium-desktop</t>
        </is>
      </c>
      <c r="C62" s="34" t="inlineStr">
        <is>
          <t>MS-CFG-007</t>
        </is>
      </c>
      <c r="D62" s="34" t="inlineStr">
        <is>
          <t>MS-CFG-007 원형 판스티커 supports material, size, and quantity selection through to cart</t>
        </is>
      </c>
      <c r="E62" s="35" t="inlineStr">
        <is>
          <t>expected</t>
        </is>
      </c>
      <c r="F62" s="34" t="n">
        <v>14748</v>
      </c>
      <c r="G62" s="34" t="inlineStr"/>
      <c r="H62" s="34" t="inlineStr">
        <is>
          <t>test-results/dev-2-full.json</t>
        </is>
      </c>
    </row>
    <row r="63">
      <c r="A63" s="34" t="inlineStr">
        <is>
          <t>Full desktop</t>
        </is>
      </c>
      <c r="B63" s="34" t="inlineStr">
        <is>
          <t>chromium-desktop</t>
        </is>
      </c>
      <c r="C63" s="34" t="inlineStr">
        <is>
          <t>MS-CFG-007</t>
        </is>
      </c>
      <c r="D63" s="34" t="inlineStr">
        <is>
          <t>MS-CFG-007 타원형 판스티커 supports material, size, and quantity selection through to cart</t>
        </is>
      </c>
      <c r="E63" s="35" t="inlineStr">
        <is>
          <t>expected</t>
        </is>
      </c>
      <c r="F63" s="34" t="n">
        <v>26596</v>
      </c>
      <c r="G63" s="34" t="inlineStr"/>
      <c r="H63" s="34" t="inlineStr">
        <is>
          <t>test-results/dev-2-full.json</t>
        </is>
      </c>
    </row>
    <row r="64">
      <c r="A64" s="34" t="inlineStr">
        <is>
          <t>Full desktop</t>
        </is>
      </c>
      <c r="B64" s="34" t="inlineStr">
        <is>
          <t>chromium-desktop</t>
        </is>
      </c>
      <c r="C64" s="34" t="inlineStr">
        <is>
          <t>MS-CFG-007</t>
        </is>
      </c>
      <c r="D64" s="34" t="inlineStr">
        <is>
          <t>MS-CFG-007 정사각형 판스티커 supports material, size, and quantity selection through to cart</t>
        </is>
      </c>
      <c r="E64" s="35" t="inlineStr">
        <is>
          <t>expected</t>
        </is>
      </c>
      <c r="F64" s="34" t="n">
        <v>18680</v>
      </c>
      <c r="G64" s="34" t="inlineStr"/>
      <c r="H64" s="34" t="inlineStr">
        <is>
          <t>test-results/dev-2-full.json</t>
        </is>
      </c>
    </row>
    <row r="65">
      <c r="A65" s="34" t="inlineStr">
        <is>
          <t>Full desktop</t>
        </is>
      </c>
      <c r="B65" s="34" t="inlineStr">
        <is>
          <t>chromium-desktop</t>
        </is>
      </c>
      <c r="C65" s="34" t="inlineStr">
        <is>
          <t>MS-CFG-007</t>
        </is>
      </c>
      <c r="D65" s="34" t="inlineStr">
        <is>
          <t>MS-CFG-007 직사각형 판스티커 supports material, size, and quantity selection through to cart</t>
        </is>
      </c>
      <c r="E65" s="35" t="inlineStr">
        <is>
          <t>expected</t>
        </is>
      </c>
      <c r="F65" s="34" t="n">
        <v>22424</v>
      </c>
      <c r="G65" s="34" t="inlineStr"/>
      <c r="H65" s="34" t="inlineStr">
        <is>
          <t>test-results/dev-2-full.json</t>
        </is>
      </c>
    </row>
    <row r="66">
      <c r="A66" s="34" t="inlineStr">
        <is>
          <t>Full desktop</t>
        </is>
      </c>
      <c r="B66" s="34" t="inlineStr">
        <is>
          <t>chromium-desktop</t>
        </is>
      </c>
      <c r="C66" s="34" t="inlineStr">
        <is>
          <t>MS-CFG-007</t>
        </is>
      </c>
      <c r="D66" s="34" t="inlineStr">
        <is>
          <t>MS-CFG-007 둥근 사각 판스티커 supports material, size, and quantity selection through to cart</t>
        </is>
      </c>
      <c r="E66" s="35" t="inlineStr">
        <is>
          <t>expected</t>
        </is>
      </c>
      <c r="F66" s="34" t="n">
        <v>19706</v>
      </c>
      <c r="G66" s="34" t="inlineStr"/>
      <c r="H66" s="34" t="inlineStr">
        <is>
          <t>test-results/dev-2-full.json</t>
        </is>
      </c>
    </row>
    <row r="67">
      <c r="A67" s="34" t="inlineStr">
        <is>
          <t>Full desktop</t>
        </is>
      </c>
      <c r="B67" s="34" t="inlineStr">
        <is>
          <t>chromium-desktop</t>
        </is>
      </c>
      <c r="C67" s="34" t="inlineStr">
        <is>
          <t>MS-CFG-008</t>
        </is>
      </c>
      <c r="D67" s="34" t="inlineStr">
        <is>
          <t>MS-CFG-008 circle sheet sticker: custom individual size recalculates the whole quantity price ladder</t>
        </is>
      </c>
      <c r="E67" s="35" t="inlineStr">
        <is>
          <t>expected</t>
        </is>
      </c>
      <c r="F67" s="34" t="n">
        <v>9866</v>
      </c>
      <c r="G67" s="34" t="inlineStr"/>
      <c r="H67" s="34" t="inlineStr">
        <is>
          <t>test-results/dev-2-full.json</t>
        </is>
      </c>
    </row>
    <row r="68">
      <c r="A68" s="34" t="inlineStr">
        <is>
          <t>Full desktop</t>
        </is>
      </c>
      <c r="B68" s="34" t="inlineStr">
        <is>
          <t>chromium-desktop</t>
        </is>
      </c>
      <c r="C68" s="34" t="inlineStr">
        <is>
          <t>MS-CFG-009</t>
        </is>
      </c>
      <c r="D68" s="34" t="inlineStr">
        <is>
          <t>MS-CFG-009 circle sheet sticker: bulk quantity tiers surface a bigger discount than smaller tiers</t>
        </is>
      </c>
      <c r="E68" s="35" t="inlineStr">
        <is>
          <t>expected</t>
        </is>
      </c>
      <c r="F68" s="34" t="n">
        <v>22999</v>
      </c>
      <c r="G68" s="34" t="inlineStr"/>
      <c r="H68" s="34" t="inlineStr">
        <is>
          <t>test-results/dev-2-full.json</t>
        </is>
      </c>
    </row>
    <row r="69">
      <c r="A69" s="34" t="inlineStr">
        <is>
          <t>Full desktop</t>
        </is>
      </c>
      <c r="B69" s="34" t="inlineStr">
        <is>
          <t>chromium-desktop</t>
        </is>
      </c>
      <c r="C69" s="34" t="inlineStr">
        <is>
          <t>MS-CFG-010</t>
        </is>
      </c>
      <c r="D69" s="34" t="inlineStr">
        <is>
          <t>MS-CFG-010 circle sheet sticker: design upload modal accepts an order note and a design file before adding to cart</t>
        </is>
      </c>
      <c r="E69" s="35" t="inlineStr">
        <is>
          <t>expected</t>
        </is>
      </c>
      <c r="F69" s="34" t="n">
        <v>10766</v>
      </c>
      <c r="G69" s="34" t="inlineStr"/>
      <c r="H69" s="34" t="inlineStr">
        <is>
          <t>test-results/dev-2-full.json</t>
        </is>
      </c>
    </row>
    <row r="70">
      <c r="A70" s="34" t="inlineStr">
        <is>
          <t>Full desktop</t>
        </is>
      </c>
      <c r="B70" s="34" t="inlineStr">
        <is>
          <t>chromium-desktop</t>
        </is>
      </c>
      <c r="C70" s="34" t="inlineStr">
        <is>
          <t>MS-CFG-011</t>
        </is>
      </c>
      <c r="D70" s="34" t="inlineStr">
        <is>
          <t>MS-CFG-011 circle sheet sticker: editing material from the cart preview drawer recalculates the line price</t>
        </is>
      </c>
      <c r="E70" s="35" t="inlineStr">
        <is>
          <t>expected</t>
        </is>
      </c>
      <c r="F70" s="34" t="n">
        <v>38557</v>
      </c>
      <c r="G70" s="34" t="inlineStr"/>
      <c r="H70" s="34" t="inlineStr">
        <is>
          <t>test-results/dev-2-full.json</t>
        </is>
      </c>
    </row>
    <row r="71">
      <c r="A71" s="34" t="inlineStr">
        <is>
          <t>Full desktop</t>
        </is>
      </c>
      <c r="B71" s="34" t="inlineStr">
        <is>
          <t>chromium-desktop</t>
        </is>
      </c>
      <c r="C71" s="34" t="inlineStr">
        <is>
          <t>MS-CFG-012</t>
        </is>
      </c>
      <c r="D71" s="34" t="inlineStr">
        <is>
          <t>MS-CFG-012 circle sheet sticker: cart preview drawer "장바구니 보기" hands off to the full cart page with the item intact</t>
        </is>
      </c>
      <c r="E71" s="35" t="inlineStr">
        <is>
          <t>expected</t>
        </is>
      </c>
      <c r="F71" s="34" t="n">
        <v>14349</v>
      </c>
      <c r="G71" s="34" t="inlineStr"/>
      <c r="H71" s="34" t="inlineStr">
        <is>
          <t>test-results/dev-2-full.json</t>
        </is>
      </c>
    </row>
    <row r="72">
      <c r="A72" s="34" t="inlineStr">
        <is>
          <t>Full desktop</t>
        </is>
      </c>
      <c r="B72" s="34" t="inlineStr">
        <is>
          <t>chromium-desktop</t>
        </is>
      </c>
      <c r="C72" s="34" t="inlineStr">
        <is>
          <t>MS-CFG-013</t>
        </is>
      </c>
      <c r="D72" s="34" t="inlineStr">
        <is>
          <t>MS-CFG-013 circle sheet sticker: full cart page "사이즈 변경" dialog exposes material + size only (no quantity), and updates price</t>
        </is>
      </c>
      <c r="E72" s="35" t="inlineStr">
        <is>
          <t>expected</t>
        </is>
      </c>
      <c r="F72" s="34" t="n">
        <v>14364</v>
      </c>
      <c r="G72" s="34" t="inlineStr"/>
      <c r="H72" s="34" t="inlineStr">
        <is>
          <t>test-results/dev-2-full.json</t>
        </is>
      </c>
    </row>
    <row r="73">
      <c r="A73" s="34" t="inlineStr">
        <is>
          <t>Full desktop</t>
        </is>
      </c>
      <c r="B73" s="34" t="inlineStr">
        <is>
          <t>chromium-desktop</t>
        </is>
      </c>
      <c r="C73" s="34" t="inlineStr">
        <is>
          <t>MS-CFG-014</t>
        </is>
      </c>
      <c r="D73" s="34" t="inlineStr">
        <is>
          <t>MS-CFG-014 circle sheet sticker: full cart page row quantity select updates price without a separate confirm step</t>
        </is>
      </c>
      <c r="E73" s="35" t="inlineStr">
        <is>
          <t>expected</t>
        </is>
      </c>
      <c r="F73" s="34" t="n">
        <v>10669</v>
      </c>
      <c r="G73" s="34" t="inlineStr"/>
      <c r="H73" s="34" t="inlineStr">
        <is>
          <t>test-results/dev-2-full.json</t>
        </is>
      </c>
    </row>
    <row r="74">
      <c r="A74" s="34" t="inlineStr">
        <is>
          <t>Full desktop</t>
        </is>
      </c>
      <c r="B74" s="34" t="inlineStr">
        <is>
          <t>chromium-desktop</t>
        </is>
      </c>
      <c r="C74" s="34" t="inlineStr">
        <is>
          <t>MS-CFG-015</t>
        </is>
      </c>
      <c r="D74" s="34" t="inlineStr">
        <is>
          <t>MS-CFG-015 원형 판스티커 size-guide illustrations have meaningful, localized alt text</t>
        </is>
      </c>
      <c r="E74" s="39" t="inlineStr">
        <is>
          <t>skipped</t>
        </is>
      </c>
      <c r="F74" s="34" t="n">
        <v>0</v>
      </c>
      <c r="G74" s="34" t="inlineStr">
        <is>
          <t>Existing fixme: localized size-guide illustration alt text; not verified.</t>
        </is>
      </c>
      <c r="H74" s="34" t="inlineStr">
        <is>
          <t>test-results/dev-2-full.json</t>
        </is>
      </c>
    </row>
    <row r="75">
      <c r="A75" s="34" t="inlineStr">
        <is>
          <t>Full desktop</t>
        </is>
      </c>
      <c r="B75" s="34" t="inlineStr">
        <is>
          <t>chromium-desktop</t>
        </is>
      </c>
      <c r="C75" s="34" t="inlineStr">
        <is>
          <t>MS-CFG-015</t>
        </is>
      </c>
      <c r="D75" s="34" t="inlineStr">
        <is>
          <t>MS-CFG-015 타원형 판스티커 size-guide illustrations have meaningful, localized alt text</t>
        </is>
      </c>
      <c r="E75" s="39" t="inlineStr">
        <is>
          <t>skipped</t>
        </is>
      </c>
      <c r="F75" s="34" t="n">
        <v>0</v>
      </c>
      <c r="G75" s="34" t="inlineStr">
        <is>
          <t>Existing fixme: localized size-guide illustration alt text; not verified.</t>
        </is>
      </c>
      <c r="H75" s="34" t="inlineStr">
        <is>
          <t>test-results/dev-2-full.json</t>
        </is>
      </c>
    </row>
    <row r="76">
      <c r="A76" s="34" t="inlineStr">
        <is>
          <t>Full desktop</t>
        </is>
      </c>
      <c r="B76" s="34" t="inlineStr">
        <is>
          <t>chromium-desktop</t>
        </is>
      </c>
      <c r="C76" s="34" t="inlineStr">
        <is>
          <t>MS-CFG-015</t>
        </is>
      </c>
      <c r="D76" s="34" t="inlineStr">
        <is>
          <t>MS-CFG-015 정사각형 판스티커 size-guide illustrations have meaningful, localized alt text</t>
        </is>
      </c>
      <c r="E76" s="39" t="inlineStr">
        <is>
          <t>skipped</t>
        </is>
      </c>
      <c r="F76" s="34" t="n">
        <v>0</v>
      </c>
      <c r="G76" s="34" t="inlineStr">
        <is>
          <t>Existing fixme: localized size-guide illustration alt text; not verified.</t>
        </is>
      </c>
      <c r="H76" s="34" t="inlineStr">
        <is>
          <t>test-results/dev-2-full.json</t>
        </is>
      </c>
    </row>
    <row r="77">
      <c r="A77" s="34" t="inlineStr">
        <is>
          <t>Full desktop</t>
        </is>
      </c>
      <c r="B77" s="34" t="inlineStr">
        <is>
          <t>chromium-desktop</t>
        </is>
      </c>
      <c r="C77" s="34" t="inlineStr">
        <is>
          <t>MS-CFG-015</t>
        </is>
      </c>
      <c r="D77" s="34" t="inlineStr">
        <is>
          <t>MS-CFG-015 직사각형 판스티커 size-guide illustrations have meaningful, localized alt text</t>
        </is>
      </c>
      <c r="E77" s="39" t="inlineStr">
        <is>
          <t>skipped</t>
        </is>
      </c>
      <c r="F77" s="34" t="n">
        <v>0</v>
      </c>
      <c r="G77" s="34" t="inlineStr">
        <is>
          <t>Existing fixme: localized size-guide illustration alt text; not verified.</t>
        </is>
      </c>
      <c r="H77" s="34" t="inlineStr">
        <is>
          <t>test-results/dev-2-full.json</t>
        </is>
      </c>
    </row>
    <row r="78">
      <c r="A78" s="34" t="inlineStr">
        <is>
          <t>Full desktop</t>
        </is>
      </c>
      <c r="B78" s="34" t="inlineStr">
        <is>
          <t>chromium-desktop</t>
        </is>
      </c>
      <c r="C78" s="34" t="inlineStr">
        <is>
          <t>MS-CFG-015</t>
        </is>
      </c>
      <c r="D78" s="34" t="inlineStr">
        <is>
          <t>MS-CFG-015 둥근 사각 판스티커 size-guide illustrations have meaningful, localized alt text</t>
        </is>
      </c>
      <c r="E78" s="39" t="inlineStr">
        <is>
          <t>skipped</t>
        </is>
      </c>
      <c r="F78" s="34" t="n">
        <v>0</v>
      </c>
      <c r="G78" s="34" t="inlineStr">
        <is>
          <t>Existing fixme: localized size-guide illustration alt text; not verified.</t>
        </is>
      </c>
      <c r="H78" s="34" t="inlineStr">
        <is>
          <t>test-results/dev-2-full.json</t>
        </is>
      </c>
    </row>
    <row r="79">
      <c r="A79" s="34" t="inlineStr">
        <is>
          <t>Full desktop</t>
        </is>
      </c>
      <c r="B79" s="34" t="inlineStr">
        <is>
          <t>chromium-desktop</t>
        </is>
      </c>
      <c r="C79" s="34" t="inlineStr">
        <is>
          <t>MS-CFG-017</t>
        </is>
      </c>
      <c r="D79" s="34" t="inlineStr">
        <is>
          <t>MS-CFG-017 홀로그램 스티커 supports size and quantity selection through to cart</t>
        </is>
      </c>
      <c r="E79" s="35" t="inlineStr">
        <is>
          <t>expected</t>
        </is>
      </c>
      <c r="F79" s="34" t="n">
        <v>29882</v>
      </c>
      <c r="G79" s="34" t="inlineStr"/>
      <c r="H79" s="34" t="inlineStr">
        <is>
          <t>test-results/dev-2-full.json</t>
        </is>
      </c>
    </row>
    <row r="80">
      <c r="A80" s="34" t="inlineStr">
        <is>
          <t>Full desktop</t>
        </is>
      </c>
      <c r="B80" s="34" t="inlineStr">
        <is>
          <t>chromium-desktop</t>
        </is>
      </c>
      <c r="C80" s="34" t="inlineStr">
        <is>
          <t>MS-CFG-017</t>
        </is>
      </c>
      <c r="D80" s="34" t="inlineStr">
        <is>
          <t>MS-CFG-017 원형 스티커 supports size and quantity selection through to cart</t>
        </is>
      </c>
      <c r="E80" s="35" t="inlineStr">
        <is>
          <t>expected</t>
        </is>
      </c>
      <c r="F80" s="34" t="n">
        <v>13045</v>
      </c>
      <c r="G80" s="34" t="inlineStr"/>
      <c r="H80" s="34" t="inlineStr">
        <is>
          <t>test-results/dev-2-full.json</t>
        </is>
      </c>
    </row>
    <row r="81">
      <c r="A81" s="34" t="inlineStr">
        <is>
          <t>Full desktop</t>
        </is>
      </c>
      <c r="B81" s="34" t="inlineStr">
        <is>
          <t>chromium-desktop</t>
        </is>
      </c>
      <c r="C81" s="34" t="inlineStr">
        <is>
          <t>MS-CFG-017</t>
        </is>
      </c>
      <c r="D81" s="34" t="inlineStr">
        <is>
          <t>MS-CFG-017 직사각형 스티커 supports size and quantity selection through to cart</t>
        </is>
      </c>
      <c r="E81" s="35" t="inlineStr">
        <is>
          <t>expected</t>
        </is>
      </c>
      <c r="F81" s="34" t="n">
        <v>21996</v>
      </c>
      <c r="G81" s="34" t="inlineStr"/>
      <c r="H81" s="34" t="inlineStr">
        <is>
          <t>test-results/dev-2-full.json</t>
        </is>
      </c>
    </row>
    <row r="82">
      <c r="A82" s="34" t="inlineStr">
        <is>
          <t>Full desktop</t>
        </is>
      </c>
      <c r="B82" s="34" t="inlineStr">
        <is>
          <t>chromium-desktop</t>
        </is>
      </c>
      <c r="C82" s="34" t="inlineStr">
        <is>
          <t>MS-CFG-017</t>
        </is>
      </c>
      <c r="D82" s="34" t="inlineStr">
        <is>
          <t>MS-CFG-017 정사각형 스티커 supports size and quantity selection through to cart</t>
        </is>
      </c>
      <c r="E82" s="35" t="inlineStr">
        <is>
          <t>expected</t>
        </is>
      </c>
      <c r="F82" s="34" t="n">
        <v>17668</v>
      </c>
      <c r="G82" s="34" t="inlineStr"/>
      <c r="H82" s="34" t="inlineStr">
        <is>
          <t>test-results/dev-2-full.json</t>
        </is>
      </c>
    </row>
    <row r="83">
      <c r="A83" s="34" t="inlineStr">
        <is>
          <t>Full desktop</t>
        </is>
      </c>
      <c r="B83" s="34" t="inlineStr">
        <is>
          <t>chromium-desktop</t>
        </is>
      </c>
      <c r="C83" s="34" t="inlineStr">
        <is>
          <t>MS-CFG-017</t>
        </is>
      </c>
      <c r="D83" s="34" t="inlineStr">
        <is>
          <t>MS-CFG-017 타원형 스티커 supports size and quantity selection through to cart</t>
        </is>
      </c>
      <c r="E83" s="35" t="inlineStr">
        <is>
          <t>expected</t>
        </is>
      </c>
      <c r="F83" s="34" t="n">
        <v>12734</v>
      </c>
      <c r="G83" s="34" t="inlineStr"/>
      <c r="H83" s="34" t="inlineStr">
        <is>
          <t>test-results/dev-2-full.json</t>
        </is>
      </c>
    </row>
    <row r="84">
      <c r="A84" s="34" t="inlineStr">
        <is>
          <t>Full desktop</t>
        </is>
      </c>
      <c r="B84" s="34" t="inlineStr">
        <is>
          <t>chromium-desktop</t>
        </is>
      </c>
      <c r="C84" s="34" t="inlineStr">
        <is>
          <t>MS-CFG-017</t>
        </is>
      </c>
      <c r="D84" s="34" t="inlineStr">
        <is>
          <t>MS-CFG-017 둥근 사각 스티커 supports size and quantity selection through to cart</t>
        </is>
      </c>
      <c r="E84" s="35" t="inlineStr">
        <is>
          <t>expected</t>
        </is>
      </c>
      <c r="F84" s="34" t="n">
        <v>14985</v>
      </c>
      <c r="G84" s="34" t="inlineStr"/>
      <c r="H84" s="34" t="inlineStr">
        <is>
          <t>test-results/dev-2-full.json</t>
        </is>
      </c>
    </row>
    <row r="85">
      <c r="A85" s="34" t="inlineStr">
        <is>
          <t>Full desktop</t>
        </is>
      </c>
      <c r="B85" s="34" t="inlineStr">
        <is>
          <t>chromium-desktop</t>
        </is>
      </c>
      <c r="C85" s="34" t="inlineStr">
        <is>
          <t>MS-CFG-017</t>
        </is>
      </c>
      <c r="D85" s="34" t="inlineStr">
        <is>
          <t>MS-CFG-017 도무송 스티커 supports size and quantity selection through to cart</t>
        </is>
      </c>
      <c r="E85" s="35" t="inlineStr">
        <is>
          <t>expected</t>
        </is>
      </c>
      <c r="F85" s="34" t="n">
        <v>19425</v>
      </c>
      <c r="G85" s="34" t="inlineStr"/>
      <c r="H85" s="34" t="inlineStr">
        <is>
          <t>test-results/dev-2-full.json</t>
        </is>
      </c>
    </row>
    <row r="86">
      <c r="A86" s="34" t="inlineStr">
        <is>
          <t>Full desktop</t>
        </is>
      </c>
      <c r="B86" s="34" t="inlineStr">
        <is>
          <t>chromium-desktop</t>
        </is>
      </c>
      <c r="C86" s="34" t="inlineStr">
        <is>
          <t>MS-CFG-017</t>
        </is>
      </c>
      <c r="D86" s="34" t="inlineStr">
        <is>
          <t>MS-CFG-017 투명 스티커 supports size and quantity selection through to cart</t>
        </is>
      </c>
      <c r="E86" s="35" t="inlineStr">
        <is>
          <t>expected</t>
        </is>
      </c>
      <c r="F86" s="34" t="n">
        <v>11649</v>
      </c>
      <c r="G86" s="34" t="inlineStr"/>
      <c r="H86" s="34" t="inlineStr">
        <is>
          <t>test-results/dev-2-full.json</t>
        </is>
      </c>
    </row>
    <row r="87">
      <c r="A87" s="34" t="inlineStr">
        <is>
          <t>Full desktop</t>
        </is>
      </c>
      <c r="B87" s="34" t="inlineStr">
        <is>
          <t>chromium-desktop</t>
        </is>
      </c>
      <c r="C87" s="34" t="inlineStr">
        <is>
          <t>MS-CFG-018</t>
        </is>
      </c>
      <c r="D87" s="34" t="inlineStr">
        <is>
          <t>MS-CFG-018 투명 롤 스티커 supports size and quantity selection through to cart</t>
        </is>
      </c>
      <c r="E87" s="35" t="inlineStr">
        <is>
          <t>expected</t>
        </is>
      </c>
      <c r="F87" s="34" t="n">
        <v>17939</v>
      </c>
      <c r="G87" s="34" t="inlineStr"/>
      <c r="H87" s="34" t="inlineStr">
        <is>
          <t>test-results/dev-2-full.json</t>
        </is>
      </c>
    </row>
    <row r="88">
      <c r="A88" s="34" t="inlineStr">
        <is>
          <t>Full desktop</t>
        </is>
      </c>
      <c r="B88" s="34" t="inlineStr">
        <is>
          <t>chromium-desktop</t>
        </is>
      </c>
      <c r="C88" s="34" t="inlineStr">
        <is>
          <t>MS-CFG-018</t>
        </is>
      </c>
      <c r="D88" s="34" t="inlineStr">
        <is>
          <t>MS-CFG-018 원형 롤 스티커 supports size and quantity selection through to cart</t>
        </is>
      </c>
      <c r="E88" s="35" t="inlineStr">
        <is>
          <t>expected</t>
        </is>
      </c>
      <c r="F88" s="34" t="n">
        <v>16414</v>
      </c>
      <c r="G88" s="34" t="inlineStr"/>
      <c r="H88" s="34" t="inlineStr">
        <is>
          <t>test-results/dev-2-full.json</t>
        </is>
      </c>
    </row>
    <row r="89">
      <c r="A89" s="34" t="inlineStr">
        <is>
          <t>Full desktop</t>
        </is>
      </c>
      <c r="B89" s="34" t="inlineStr">
        <is>
          <t>chromium-desktop</t>
        </is>
      </c>
      <c r="C89" s="34" t="inlineStr">
        <is>
          <t>MS-CFG-018</t>
        </is>
      </c>
      <c r="D89" s="34" t="inlineStr">
        <is>
          <t>MS-CFG-018 정사각형 롤 스티커 supports size and quantity selection through to cart</t>
        </is>
      </c>
      <c r="E89" s="35" t="inlineStr">
        <is>
          <t>expected</t>
        </is>
      </c>
      <c r="F89" s="34" t="n">
        <v>18634</v>
      </c>
      <c r="G89" s="34" t="inlineStr"/>
      <c r="H89" s="34" t="inlineStr">
        <is>
          <t>test-results/dev-2-full.json</t>
        </is>
      </c>
    </row>
    <row r="90">
      <c r="A90" s="34" t="inlineStr">
        <is>
          <t>Full desktop</t>
        </is>
      </c>
      <c r="B90" s="34" t="inlineStr">
        <is>
          <t>chromium-desktop</t>
        </is>
      </c>
      <c r="C90" s="34" t="inlineStr">
        <is>
          <t>MS-CFG-018</t>
        </is>
      </c>
      <c r="D90" s="34" t="inlineStr">
        <is>
          <t>MS-CFG-018 직사각형 롤 스티커 supports size and quantity selection through to cart</t>
        </is>
      </c>
      <c r="E90" s="35" t="inlineStr">
        <is>
          <t>expected</t>
        </is>
      </c>
      <c r="F90" s="34" t="n">
        <v>15726</v>
      </c>
      <c r="G90" s="34" t="inlineStr"/>
      <c r="H90" s="34" t="inlineStr">
        <is>
          <t>test-results/dev-2-full.json</t>
        </is>
      </c>
    </row>
    <row r="91">
      <c r="A91" s="34" t="inlineStr">
        <is>
          <t>Full desktop</t>
        </is>
      </c>
      <c r="B91" s="34" t="inlineStr">
        <is>
          <t>chromium-desktop</t>
        </is>
      </c>
      <c r="C91" s="34" t="inlineStr">
        <is>
          <t>MS-CFG-018</t>
        </is>
      </c>
      <c r="D91" s="34" t="inlineStr">
        <is>
          <t>MS-CFG-018 둥근 사각 롤 스티커 supports size and quantity selection through to cart</t>
        </is>
      </c>
      <c r="E91" s="35" t="inlineStr">
        <is>
          <t>expected</t>
        </is>
      </c>
      <c r="F91" s="34" t="n">
        <v>8411</v>
      </c>
      <c r="G91" s="34" t="inlineStr"/>
      <c r="H91" s="34" t="inlineStr">
        <is>
          <t>test-results/dev-2-full.json</t>
        </is>
      </c>
    </row>
    <row r="92">
      <c r="A92" s="34" t="inlineStr">
        <is>
          <t>Full desktop</t>
        </is>
      </c>
      <c r="B92" s="34" t="inlineStr">
        <is>
          <t>chromium-desktop</t>
        </is>
      </c>
      <c r="C92" s="34" t="inlineStr">
        <is>
          <t>MS-CFG-018</t>
        </is>
      </c>
      <c r="D92" s="34" t="inlineStr">
        <is>
          <t>MS-CFG-018 타원형 롤 스티커 supports size and quantity selection through to cart</t>
        </is>
      </c>
      <c r="E92" s="35" t="inlineStr">
        <is>
          <t>expected</t>
        </is>
      </c>
      <c r="F92" s="34" t="n">
        <v>17264</v>
      </c>
      <c r="G92" s="34" t="inlineStr"/>
      <c r="H92" s="34" t="inlineStr">
        <is>
          <t>test-results/dev-2-full.json</t>
        </is>
      </c>
    </row>
    <row r="93">
      <c r="A93" s="34" t="inlineStr">
        <is>
          <t>Full desktop</t>
        </is>
      </c>
      <c r="B93" s="34" t="inlineStr">
        <is>
          <t>chromium-desktop</t>
        </is>
      </c>
      <c r="C93" s="34" t="inlineStr">
        <is>
          <t>MS-CFG-018</t>
        </is>
      </c>
      <c r="D93" s="34" t="inlineStr">
        <is>
          <t>MS-CFG-018 종이 롤 스티커 supports size and quantity selection through to cart</t>
        </is>
      </c>
      <c r="E93" s="35" t="inlineStr">
        <is>
          <t>expected</t>
        </is>
      </c>
      <c r="F93" s="34" t="n">
        <v>16278</v>
      </c>
      <c r="G93" s="34" t="inlineStr"/>
      <c r="H93" s="34" t="inlineStr">
        <is>
          <t>test-results/dev-2-full.json</t>
        </is>
      </c>
    </row>
    <row r="94">
      <c r="A94" s="34" t="inlineStr">
        <is>
          <t>Full desktop</t>
        </is>
      </c>
      <c r="B94" s="34" t="inlineStr">
        <is>
          <t>chromium-desktop</t>
        </is>
      </c>
      <c r="C94" s="34" t="inlineStr">
        <is>
          <t>MS-CFG-019</t>
        </is>
      </c>
      <c r="D94" s="34" t="inlineStr">
        <is>
          <t>MS-CFG-019 circle sticker: custom individual size recalculates the price</t>
        </is>
      </c>
      <c r="E94" s="35" t="inlineStr">
        <is>
          <t>expected</t>
        </is>
      </c>
      <c r="F94" s="34" t="n">
        <v>16559</v>
      </c>
      <c r="G94" s="34" t="inlineStr"/>
      <c r="H94" s="34" t="inlineStr">
        <is>
          <t>test-results/dev-2-full.json</t>
        </is>
      </c>
    </row>
    <row r="95">
      <c r="A95" s="34" t="inlineStr">
        <is>
          <t>Full desktop</t>
        </is>
      </c>
      <c r="B95" s="34" t="inlineStr">
        <is>
          <t>chromium-desktop</t>
        </is>
      </c>
      <c r="C95" s="34" t="inlineStr">
        <is>
          <t>MS-CFG-020</t>
        </is>
      </c>
      <c r="D95" s="34" t="inlineStr">
        <is>
          <t>MS-CFG-020 circle roll sticker: custom individual size recalculates the price</t>
        </is>
      </c>
      <c r="E95" s="35" t="inlineStr">
        <is>
          <t>expected</t>
        </is>
      </c>
      <c r="F95" s="34" t="n">
        <v>20828</v>
      </c>
      <c r="G95" s="34" t="inlineStr"/>
      <c r="H95" s="34" t="inlineStr">
        <is>
          <t>test-results/dev-2-full.json</t>
        </is>
      </c>
    </row>
    <row r="96">
      <c r="A96" s="34" t="inlineStr">
        <is>
          <t>Full desktop</t>
        </is>
      </c>
      <c r="B96" s="34" t="inlineStr">
        <is>
          <t>chromium-desktop</t>
        </is>
      </c>
      <c r="C96" s="34" t="inlineStr">
        <is>
          <t>MS-CFG-021</t>
        </is>
      </c>
      <c r="D96" s="34" t="inlineStr">
        <is>
          <t>MS-CFG-021 circle sticker: bulk quantity tiers surface a discount that smaller tiers do not</t>
        </is>
      </c>
      <c r="E96" s="35" t="inlineStr">
        <is>
          <t>expected</t>
        </is>
      </c>
      <c r="F96" s="34" t="n">
        <v>11660</v>
      </c>
      <c r="G96" s="34" t="inlineStr"/>
      <c r="H96" s="34" t="inlineStr">
        <is>
          <t>test-results/dev-2-full.json</t>
        </is>
      </c>
    </row>
    <row r="97">
      <c r="A97" s="34" t="inlineStr">
        <is>
          <t>Full desktop</t>
        </is>
      </c>
      <c r="B97" s="34" t="inlineStr">
        <is>
          <t>chromium-desktop</t>
        </is>
      </c>
      <c r="C97" s="34" t="inlineStr">
        <is>
          <t>MS-CFG-022</t>
        </is>
      </c>
      <c r="D97" s="34" t="inlineStr">
        <is>
          <t>MS-CFG-022 circle roll sticker: bulk quantity tiers surface a discount that smaller tiers do not</t>
        </is>
      </c>
      <c r="E97" s="35" t="inlineStr">
        <is>
          <t>expected</t>
        </is>
      </c>
      <c r="F97" s="34" t="n">
        <v>15467</v>
      </c>
      <c r="G97" s="34" t="inlineStr"/>
      <c r="H97" s="34" t="inlineStr">
        <is>
          <t>test-results/dev-2-full.json</t>
        </is>
      </c>
    </row>
    <row r="98">
      <c r="A98" s="34" t="inlineStr">
        <is>
          <t>Full desktop</t>
        </is>
      </c>
      <c r="B98" s="34" t="inlineStr">
        <is>
          <t>chromium-desktop</t>
        </is>
      </c>
      <c r="C98" s="34" t="inlineStr">
        <is>
          <t>MS-CFG-023</t>
        </is>
      </c>
      <c r="D98" s="34" t="inlineStr">
        <is>
          <t>MS-CFG-023 custom sheet sticker supports material, sheet size, and quantity selection through to cart</t>
        </is>
      </c>
      <c r="E98" s="35" t="inlineStr">
        <is>
          <t>expected</t>
        </is>
      </c>
      <c r="F98" s="34" t="n">
        <v>12473</v>
      </c>
      <c r="G98" s="34" t="inlineStr"/>
      <c r="H98" s="34" t="inlineStr">
        <is>
          <t>test-results/dev-2-full.json</t>
        </is>
      </c>
    </row>
    <row r="99">
      <c r="A99" s="34" t="inlineStr">
        <is>
          <t>Full desktop</t>
        </is>
      </c>
      <c r="B99" s="34" t="inlineStr">
        <is>
          <t>chromium-desktop</t>
        </is>
      </c>
      <c r="C99" s="34" t="inlineStr">
        <is>
          <t>MS-CFG-024</t>
        </is>
      </c>
      <c r="D99" s="34" t="inlineStr">
        <is>
          <t>MS-CFG-024 lettering sticker supports color, custom text, and quantity selection through to cart</t>
        </is>
      </c>
      <c r="E99" s="35" t="inlineStr">
        <is>
          <t>expected</t>
        </is>
      </c>
      <c r="F99" s="34" t="n">
        <v>11569</v>
      </c>
      <c r="G99" s="34" t="inlineStr"/>
      <c r="H99" s="34" t="inlineStr">
        <is>
          <t>test-results/dev-2-full.json</t>
        </is>
      </c>
    </row>
    <row r="100">
      <c r="A100" s="34" t="inlineStr">
        <is>
          <t>Full desktop</t>
        </is>
      </c>
      <c r="B100" s="34" t="inlineStr">
        <is>
          <t>chromium-desktop</t>
        </is>
      </c>
      <c r="C100" s="34" t="inlineStr">
        <is>
          <t>MS-CFG-025</t>
        </is>
      </c>
      <c r="D100" s="34" t="inlineStr">
        <is>
          <t>MS-CFG-025 full-color lettering (transfer) sticker supports color, size, and quantity selection through to cart</t>
        </is>
      </c>
      <c r="E100" s="35" t="inlineStr">
        <is>
          <t>expected</t>
        </is>
      </c>
      <c r="F100" s="34" t="n">
        <v>12285</v>
      </c>
      <c r="G100" s="34" t="inlineStr"/>
      <c r="H100" s="34" t="inlineStr">
        <is>
          <t>test-results/dev-2-full.json</t>
        </is>
      </c>
    </row>
    <row r="101">
      <c r="A101" s="34" t="inlineStr">
        <is>
          <t>Full desktop</t>
        </is>
      </c>
      <c r="B101" s="34" t="inlineStr">
        <is>
          <t>chromium-desktop</t>
        </is>
      </c>
      <c r="C101" s="34" t="inlineStr">
        <is>
          <t>MS-DSC-006</t>
        </is>
      </c>
      <c r="D101" s="34" t="inlineStr">
        <is>
          <t>MS-DSC-006 about page loads hero, sub-nav, stats, and CTAs</t>
        </is>
      </c>
      <c r="E101" s="35" t="inlineStr">
        <is>
          <t>expected</t>
        </is>
      </c>
      <c r="F101" s="34" t="n">
        <v>3466</v>
      </c>
      <c r="G101" s="34" t="inlineStr"/>
      <c r="H101" s="34" t="inlineStr">
        <is>
          <t>test-results/dev-2-full.json</t>
        </is>
      </c>
    </row>
    <row r="102">
      <c r="A102" s="34" t="inlineStr">
        <is>
          <t>Full desktop</t>
        </is>
      </c>
      <c r="B102" s="34" t="inlineStr">
        <is>
          <t>chromium-desktop</t>
        </is>
      </c>
      <c r="C102" s="34" t="inlineStr">
        <is>
          <t>MS-DSC-007</t>
        </is>
      </c>
      <c r="D102" s="34" t="inlineStr">
        <is>
          <t>MS-DSC-007 catalog page renders without error: ./stickers/sticker-sheet</t>
        </is>
      </c>
      <c r="E102" s="35" t="inlineStr">
        <is>
          <t>expected</t>
        </is>
      </c>
      <c r="F102" s="34" t="n">
        <v>4173</v>
      </c>
      <c r="G102" s="34" t="inlineStr"/>
      <c r="H102" s="34" t="inlineStr">
        <is>
          <t>test-results/dev-2-full.json</t>
        </is>
      </c>
    </row>
    <row r="103">
      <c r="A103" s="34" t="inlineStr">
        <is>
          <t>Full desktop</t>
        </is>
      </c>
      <c r="B103" s="34" t="inlineStr">
        <is>
          <t>chromium-desktop</t>
        </is>
      </c>
      <c r="C103" s="34" t="inlineStr">
        <is>
          <t>MS-DSC-007</t>
        </is>
      </c>
      <c r="D103" s="34" t="inlineStr">
        <is>
          <t>MS-DSC-007 catalog page renders without error: ./stickers/hologram-sticker</t>
        </is>
      </c>
      <c r="E103" s="35" t="inlineStr">
        <is>
          <t>expected</t>
        </is>
      </c>
      <c r="F103" s="34" t="n">
        <v>9708</v>
      </c>
      <c r="G103" s="34" t="inlineStr"/>
      <c r="H103" s="34" t="inlineStr">
        <is>
          <t>test-results/dev-2-full.json</t>
        </is>
      </c>
    </row>
    <row r="104">
      <c r="A104" s="34" t="inlineStr">
        <is>
          <t>Full desktop</t>
        </is>
      </c>
      <c r="B104" s="34" t="inlineStr">
        <is>
          <t>chromium-desktop</t>
        </is>
      </c>
      <c r="C104" s="34" t="inlineStr">
        <is>
          <t>MS-DSC-007</t>
        </is>
      </c>
      <c r="D104" s="34" t="inlineStr">
        <is>
          <t>MS-DSC-007 catalog page renders without error: ./stickers/vinyl-lettering</t>
        </is>
      </c>
      <c r="E104" s="35" t="inlineStr">
        <is>
          <t>expected</t>
        </is>
      </c>
      <c r="F104" s="34" t="n">
        <v>18713</v>
      </c>
      <c r="G104" s="34" t="inlineStr"/>
      <c r="H104" s="34" t="inlineStr">
        <is>
          <t>test-results/dev-2-full.json</t>
        </is>
      </c>
    </row>
    <row r="105">
      <c r="A105" s="34" t="inlineStr">
        <is>
          <t>Full desktop</t>
        </is>
      </c>
      <c r="B105" s="34" t="inlineStr">
        <is>
          <t>chromium-desktop</t>
        </is>
      </c>
      <c r="C105" s="34" t="inlineStr">
        <is>
          <t>MS-DSC-007</t>
        </is>
      </c>
      <c r="D105" s="34" t="inlineStr">
        <is>
          <t>MS-DSC-007 catalog page renders without error: ./stickers/circle-sticker</t>
        </is>
      </c>
      <c r="E105" s="35" t="inlineStr">
        <is>
          <t>expected</t>
        </is>
      </c>
      <c r="F105" s="34" t="n">
        <v>12793</v>
      </c>
      <c r="G105" s="34" t="inlineStr"/>
      <c r="H105" s="34" t="inlineStr">
        <is>
          <t>test-results/dev-2-full.json</t>
        </is>
      </c>
    </row>
    <row r="106">
      <c r="A106" s="34" t="inlineStr">
        <is>
          <t>Full desktop</t>
        </is>
      </c>
      <c r="B106" s="34" t="inlineStr">
        <is>
          <t>chromium-desktop</t>
        </is>
      </c>
      <c r="C106" s="34" t="inlineStr">
        <is>
          <t>MS-DSC-007</t>
        </is>
      </c>
      <c r="D106" s="34" t="inlineStr">
        <is>
          <t>MS-DSC-007 catalog page renders without error: ./stickers/rectangle-sticker</t>
        </is>
      </c>
      <c r="E106" s="35" t="inlineStr">
        <is>
          <t>expected</t>
        </is>
      </c>
      <c r="F106" s="34" t="n">
        <v>5275</v>
      </c>
      <c r="G106" s="34" t="inlineStr"/>
      <c r="H106" s="34" t="inlineStr">
        <is>
          <t>test-results/dev-2-full.json</t>
        </is>
      </c>
    </row>
    <row r="107">
      <c r="A107" s="34" t="inlineStr">
        <is>
          <t>Full desktop</t>
        </is>
      </c>
      <c r="B107" s="34" t="inlineStr">
        <is>
          <t>chromium-desktop</t>
        </is>
      </c>
      <c r="C107" s="34" t="inlineStr">
        <is>
          <t>MS-DSC-007</t>
        </is>
      </c>
      <c r="D107" s="34" t="inlineStr">
        <is>
          <t>MS-DSC-007 catalog page renders without error: ./stickers/square-sticker</t>
        </is>
      </c>
      <c r="E107" s="35" t="inlineStr">
        <is>
          <t>expected</t>
        </is>
      </c>
      <c r="F107" s="34" t="n">
        <v>10631</v>
      </c>
      <c r="G107" s="34" t="inlineStr"/>
      <c r="H107" s="34" t="inlineStr">
        <is>
          <t>test-results/dev-2-full.json</t>
        </is>
      </c>
    </row>
    <row r="108">
      <c r="A108" s="34" t="inlineStr">
        <is>
          <t>Full desktop</t>
        </is>
      </c>
      <c r="B108" s="34" t="inlineStr">
        <is>
          <t>chromium-desktop</t>
        </is>
      </c>
      <c r="C108" s="34" t="inlineStr">
        <is>
          <t>MS-DSC-007</t>
        </is>
      </c>
      <c r="D108" s="34" t="inlineStr">
        <is>
          <t>MS-DSC-007 catalog page renders without error: ./stickers/oval-sticker</t>
        </is>
      </c>
      <c r="E108" s="35" t="inlineStr">
        <is>
          <t>expected</t>
        </is>
      </c>
      <c r="F108" s="34" t="n">
        <v>18401</v>
      </c>
      <c r="G108" s="34" t="inlineStr"/>
      <c r="H108" s="34" t="inlineStr">
        <is>
          <t>test-results/dev-2-full.json</t>
        </is>
      </c>
    </row>
    <row r="109">
      <c r="A109" s="34" t="inlineStr">
        <is>
          <t>Full desktop</t>
        </is>
      </c>
      <c r="B109" s="34" t="inlineStr">
        <is>
          <t>chromium-desktop</t>
        </is>
      </c>
      <c r="C109" s="34" t="inlineStr">
        <is>
          <t>MS-DSC-007</t>
        </is>
      </c>
      <c r="D109" s="34" t="inlineStr">
        <is>
          <t>MS-DSC-007 catalog page renders without error: ./stickers/rounded-sticker</t>
        </is>
      </c>
      <c r="E109" s="35" t="inlineStr">
        <is>
          <t>expected</t>
        </is>
      </c>
      <c r="F109" s="34" t="n">
        <v>6482</v>
      </c>
      <c r="G109" s="34" t="inlineStr"/>
      <c r="H109" s="34" t="inlineStr">
        <is>
          <t>test-results/dev-2-full.json</t>
        </is>
      </c>
    </row>
    <row r="110">
      <c r="A110" s="34" t="inlineStr">
        <is>
          <t>Full desktop</t>
        </is>
      </c>
      <c r="B110" s="34" t="inlineStr">
        <is>
          <t>chromium-desktop</t>
        </is>
      </c>
      <c r="C110" s="34" t="inlineStr">
        <is>
          <t>MS-DSC-007</t>
        </is>
      </c>
      <c r="D110" s="34" t="inlineStr">
        <is>
          <t>MS-DSC-007 catalog page renders without error: ./stickers/kiss-cut-sticker</t>
        </is>
      </c>
      <c r="E110" s="35" t="inlineStr">
        <is>
          <t>expected</t>
        </is>
      </c>
      <c r="F110" s="34" t="n">
        <v>18197</v>
      </c>
      <c r="G110" s="34" t="inlineStr"/>
      <c r="H110" s="34" t="inlineStr">
        <is>
          <t>test-results/dev-2-full.json</t>
        </is>
      </c>
    </row>
    <row r="111">
      <c r="A111" s="34" t="inlineStr">
        <is>
          <t>Full desktop</t>
        </is>
      </c>
      <c r="B111" s="34" t="inlineStr">
        <is>
          <t>chromium-desktop</t>
        </is>
      </c>
      <c r="C111" s="34" t="inlineStr">
        <is>
          <t>MS-DSC-007</t>
        </is>
      </c>
      <c r="D111" s="34" t="inlineStr">
        <is>
          <t>MS-DSC-007 catalog page renders without error: ./stickers/clear-sticker</t>
        </is>
      </c>
      <c r="E111" s="35" t="inlineStr">
        <is>
          <t>expected</t>
        </is>
      </c>
      <c r="F111" s="34" t="n">
        <v>4417</v>
      </c>
      <c r="G111" s="34" t="inlineStr"/>
      <c r="H111" s="34" t="inlineStr">
        <is>
          <t>test-results/dev-2-full.json</t>
        </is>
      </c>
    </row>
    <row r="112">
      <c r="A112" s="34" t="inlineStr">
        <is>
          <t>Full desktop</t>
        </is>
      </c>
      <c r="B112" s="34" t="inlineStr">
        <is>
          <t>chromium-desktop</t>
        </is>
      </c>
      <c r="C112" s="34" t="inlineStr">
        <is>
          <t>MS-DSC-007</t>
        </is>
      </c>
      <c r="D112" s="34" t="inlineStr">
        <is>
          <t>MS-DSC-007 catalog page renders without error: ./stickers/transfer-sticker</t>
        </is>
      </c>
      <c r="E112" s="35" t="inlineStr">
        <is>
          <t>expected</t>
        </is>
      </c>
      <c r="F112" s="34" t="n">
        <v>7016</v>
      </c>
      <c r="G112" s="34" t="inlineStr"/>
      <c r="H112" s="34" t="inlineStr">
        <is>
          <t>test-results/dev-2-full.json</t>
        </is>
      </c>
    </row>
    <row r="113">
      <c r="A113" s="34" t="inlineStr">
        <is>
          <t>Full desktop</t>
        </is>
      </c>
      <c r="B113" s="34" t="inlineStr">
        <is>
          <t>chromium-desktop</t>
        </is>
      </c>
      <c r="C113" s="34" t="inlineStr">
        <is>
          <t>MS-DSC-007</t>
        </is>
      </c>
      <c r="D113" s="34" t="inlineStr">
        <is>
          <t>MS-DSC-007 catalog page renders without error: ./roll-stickers/clear-roll</t>
        </is>
      </c>
      <c r="E113" s="35" t="inlineStr">
        <is>
          <t>expected</t>
        </is>
      </c>
      <c r="F113" s="34" t="n">
        <v>5721</v>
      </c>
      <c r="G113" s="34" t="inlineStr"/>
      <c r="H113" s="34" t="inlineStr">
        <is>
          <t>test-results/dev-2-full.json</t>
        </is>
      </c>
    </row>
    <row r="114">
      <c r="A114" s="34" t="inlineStr">
        <is>
          <t>Full desktop</t>
        </is>
      </c>
      <c r="B114" s="34" t="inlineStr">
        <is>
          <t>chromium-desktop</t>
        </is>
      </c>
      <c r="C114" s="34" t="inlineStr">
        <is>
          <t>MS-DSC-007</t>
        </is>
      </c>
      <c r="D114" s="34" t="inlineStr">
        <is>
          <t>MS-DSC-007 catalog page renders without error: ./roll-stickers/circle-roll</t>
        </is>
      </c>
      <c r="E114" s="35" t="inlineStr">
        <is>
          <t>expected</t>
        </is>
      </c>
      <c r="F114" s="34" t="n">
        <v>12091</v>
      </c>
      <c r="G114" s="34" t="inlineStr"/>
      <c r="H114" s="34" t="inlineStr">
        <is>
          <t>test-results/dev-2-full.json</t>
        </is>
      </c>
    </row>
    <row r="115">
      <c r="A115" s="34" t="inlineStr">
        <is>
          <t>Full desktop</t>
        </is>
      </c>
      <c r="B115" s="34" t="inlineStr">
        <is>
          <t>chromium-desktop</t>
        </is>
      </c>
      <c r="C115" s="34" t="inlineStr">
        <is>
          <t>MS-DSC-007</t>
        </is>
      </c>
      <c r="D115" s="34" t="inlineStr">
        <is>
          <t>MS-DSC-007 catalog page renders without error: ./roll-stickers/square-roll</t>
        </is>
      </c>
      <c r="E115" s="35" t="inlineStr">
        <is>
          <t>expected</t>
        </is>
      </c>
      <c r="F115" s="34" t="n">
        <v>14236</v>
      </c>
      <c r="G115" s="34" t="inlineStr"/>
      <c r="H115" s="34" t="inlineStr">
        <is>
          <t>test-results/dev-2-full.json</t>
        </is>
      </c>
    </row>
    <row r="116">
      <c r="A116" s="34" t="inlineStr">
        <is>
          <t>Full desktop</t>
        </is>
      </c>
      <c r="B116" s="34" t="inlineStr">
        <is>
          <t>chromium-desktop</t>
        </is>
      </c>
      <c r="C116" s="34" t="inlineStr">
        <is>
          <t>MS-DSC-007</t>
        </is>
      </c>
      <c r="D116" s="34" t="inlineStr">
        <is>
          <t>MS-DSC-007 catalog page renders without error: ./roll-stickers/rectangle-roll</t>
        </is>
      </c>
      <c r="E116" s="35" t="inlineStr">
        <is>
          <t>expected</t>
        </is>
      </c>
      <c r="F116" s="34" t="n">
        <v>4389</v>
      </c>
      <c r="G116" s="34" t="inlineStr"/>
      <c r="H116" s="34" t="inlineStr">
        <is>
          <t>test-results/dev-2-full.json</t>
        </is>
      </c>
    </row>
    <row r="117">
      <c r="A117" s="34" t="inlineStr">
        <is>
          <t>Full desktop</t>
        </is>
      </c>
      <c r="B117" s="34" t="inlineStr">
        <is>
          <t>chromium-desktop</t>
        </is>
      </c>
      <c r="C117" s="34" t="inlineStr">
        <is>
          <t>MS-DSC-007</t>
        </is>
      </c>
      <c r="D117" s="34" t="inlineStr">
        <is>
          <t>MS-DSC-007 catalog page renders without error: ./roll-stickers/rounded-roll</t>
        </is>
      </c>
      <c r="E117" s="35" t="inlineStr">
        <is>
          <t>expected</t>
        </is>
      </c>
      <c r="F117" s="34" t="n">
        <v>4903</v>
      </c>
      <c r="G117" s="34" t="inlineStr"/>
      <c r="H117" s="34" t="inlineStr">
        <is>
          <t>test-results/dev-2-full.json</t>
        </is>
      </c>
    </row>
    <row r="118">
      <c r="A118" s="34" t="inlineStr">
        <is>
          <t>Full desktop</t>
        </is>
      </c>
      <c r="B118" s="34" t="inlineStr">
        <is>
          <t>chromium-desktop</t>
        </is>
      </c>
      <c r="C118" s="34" t="inlineStr">
        <is>
          <t>MS-DSC-007</t>
        </is>
      </c>
      <c r="D118" s="34" t="inlineStr">
        <is>
          <t>MS-DSC-007 catalog page renders without error: ./roll-stickers/oval-roll</t>
        </is>
      </c>
      <c r="E118" s="35" t="inlineStr">
        <is>
          <t>expected</t>
        </is>
      </c>
      <c r="F118" s="34" t="n">
        <v>20798</v>
      </c>
      <c r="G118" s="34" t="inlineStr"/>
      <c r="H118" s="34" t="inlineStr">
        <is>
          <t>test-results/dev-2-full.json</t>
        </is>
      </c>
    </row>
    <row r="119">
      <c r="A119" s="34" t="inlineStr">
        <is>
          <t>Full desktop</t>
        </is>
      </c>
      <c r="B119" s="34" t="inlineStr">
        <is>
          <t>chromium-desktop</t>
        </is>
      </c>
      <c r="C119" s="34" t="inlineStr">
        <is>
          <t>MS-DSC-007</t>
        </is>
      </c>
      <c r="D119" s="34" t="inlineStr">
        <is>
          <t>MS-DSC-007 catalog page renders without error: ./roll-stickers/paper-roll</t>
        </is>
      </c>
      <c r="E119" s="35" t="inlineStr">
        <is>
          <t>expected</t>
        </is>
      </c>
      <c r="F119" s="34" t="n">
        <v>19292</v>
      </c>
      <c r="G119" s="34" t="inlineStr"/>
      <c r="H119" s="34" t="inlineStr">
        <is>
          <t>test-results/dev-2-full.json</t>
        </is>
      </c>
    </row>
    <row r="120">
      <c r="A120" s="34" t="inlineStr">
        <is>
          <t>Full desktop</t>
        </is>
      </c>
      <c r="B120" s="34" t="inlineStr">
        <is>
          <t>chromium-desktop</t>
        </is>
      </c>
      <c r="C120" s="34" t="inlineStr">
        <is>
          <t>MS-DSC-007</t>
        </is>
      </c>
      <c r="D120" s="34" t="inlineStr">
        <is>
          <t>MS-DSC-007 catalog page renders without error: ./sheet-stickers/circle-sheet</t>
        </is>
      </c>
      <c r="E120" s="35" t="inlineStr">
        <is>
          <t>expected</t>
        </is>
      </c>
      <c r="F120" s="34" t="n">
        <v>16580</v>
      </c>
      <c r="G120" s="34" t="inlineStr"/>
      <c r="H120" s="34" t="inlineStr">
        <is>
          <t>test-results/dev-2-full.json</t>
        </is>
      </c>
    </row>
    <row r="121">
      <c r="A121" s="34" t="inlineStr">
        <is>
          <t>Full desktop</t>
        </is>
      </c>
      <c r="B121" s="34" t="inlineStr">
        <is>
          <t>chromium-desktop</t>
        </is>
      </c>
      <c r="C121" s="34" t="inlineStr">
        <is>
          <t>MS-DSC-007</t>
        </is>
      </c>
      <c r="D121" s="34" t="inlineStr">
        <is>
          <t>MS-DSC-007 catalog page renders without error: ./sheet-stickers/oval-sheet</t>
        </is>
      </c>
      <c r="E121" s="35" t="inlineStr">
        <is>
          <t>expected</t>
        </is>
      </c>
      <c r="F121" s="34" t="n">
        <v>15743</v>
      </c>
      <c r="G121" s="34" t="inlineStr"/>
      <c r="H121" s="34" t="inlineStr">
        <is>
          <t>test-results/dev-2-full.json</t>
        </is>
      </c>
    </row>
    <row r="122">
      <c r="A122" s="34" t="inlineStr">
        <is>
          <t>Full desktop</t>
        </is>
      </c>
      <c r="B122" s="34" t="inlineStr">
        <is>
          <t>chromium-desktop</t>
        </is>
      </c>
      <c r="C122" s="34" t="inlineStr">
        <is>
          <t>MS-DSC-007</t>
        </is>
      </c>
      <c r="D122" s="34" t="inlineStr">
        <is>
          <t>MS-DSC-007 catalog page renders without error: ./sheet-stickers/square-sheet</t>
        </is>
      </c>
      <c r="E122" s="35" t="inlineStr">
        <is>
          <t>expected</t>
        </is>
      </c>
      <c r="F122" s="34" t="n">
        <v>7778</v>
      </c>
      <c r="G122" s="34" t="inlineStr"/>
      <c r="H122" s="34" t="inlineStr">
        <is>
          <t>test-results/dev-2-full.json</t>
        </is>
      </c>
    </row>
    <row r="123">
      <c r="A123" s="34" t="inlineStr">
        <is>
          <t>Full desktop</t>
        </is>
      </c>
      <c r="B123" s="34" t="inlineStr">
        <is>
          <t>chromium-desktop</t>
        </is>
      </c>
      <c r="C123" s="34" t="inlineStr">
        <is>
          <t>MS-DSC-007</t>
        </is>
      </c>
      <c r="D123" s="34" t="inlineStr">
        <is>
          <t>MS-DSC-007 catalog page renders without error: ./sheet-stickers/rectangle-sheet</t>
        </is>
      </c>
      <c r="E123" s="35" t="inlineStr">
        <is>
          <t>expected</t>
        </is>
      </c>
      <c r="F123" s="34" t="n">
        <v>16977</v>
      </c>
      <c r="G123" s="34" t="inlineStr"/>
      <c r="H123" s="34" t="inlineStr">
        <is>
          <t>test-results/dev-2-full.json</t>
        </is>
      </c>
    </row>
    <row r="124">
      <c r="A124" s="34" t="inlineStr">
        <is>
          <t>Full desktop</t>
        </is>
      </c>
      <c r="B124" s="34" t="inlineStr">
        <is>
          <t>chromium-desktop</t>
        </is>
      </c>
      <c r="C124" s="34" t="inlineStr">
        <is>
          <t>MS-DSC-007</t>
        </is>
      </c>
      <c r="D124" s="34" t="inlineStr">
        <is>
          <t>MS-DSC-007 catalog page renders without error: ./sheet-stickers/rounded-sheet</t>
        </is>
      </c>
      <c r="E124" s="35" t="inlineStr">
        <is>
          <t>expected</t>
        </is>
      </c>
      <c r="F124" s="34" t="n">
        <v>4766</v>
      </c>
      <c r="G124" s="34" t="inlineStr"/>
      <c r="H124" s="34" t="inlineStr">
        <is>
          <t>test-results/dev-2-full.json</t>
        </is>
      </c>
    </row>
    <row r="125">
      <c r="A125" s="34" t="inlineStr">
        <is>
          <t>Full desktop</t>
        </is>
      </c>
      <c r="B125" s="34" t="inlineStr">
        <is>
          <t>chromium-desktop</t>
        </is>
      </c>
      <c r="C125" s="34" t="inlineStr">
        <is>
          <t>MS-DSC-001</t>
        </is>
      </c>
      <c r="D125" s="34" t="inlineStr">
        <is>
          <t>MS-DSC-001 sticker category lists expected product links</t>
        </is>
      </c>
      <c r="E125" s="35" t="inlineStr">
        <is>
          <t>expected</t>
        </is>
      </c>
      <c r="F125" s="34" t="n">
        <v>11113</v>
      </c>
      <c r="G125" s="34" t="inlineStr"/>
      <c r="H125" s="34" t="inlineStr">
        <is>
          <t>test-results/dev-2-full.json</t>
        </is>
      </c>
    </row>
    <row r="126">
      <c r="A126" s="34" t="inlineStr">
        <is>
          <t>Full desktop</t>
        </is>
      </c>
      <c r="B126" s="34" t="inlineStr">
        <is>
          <t>chromium-desktop</t>
        </is>
      </c>
      <c r="C126" s="34" t="inlineStr">
        <is>
          <t>MS-DSC-002</t>
        </is>
      </c>
      <c r="D126" s="34" t="inlineStr">
        <is>
          <t>MS-DSC-002 roll sticker category lists expected product links</t>
        </is>
      </c>
      <c r="E126" s="35" t="inlineStr">
        <is>
          <t>expected</t>
        </is>
      </c>
      <c r="F126" s="34" t="n">
        <v>14618</v>
      </c>
      <c r="G126" s="34" t="inlineStr"/>
      <c r="H126" s="34" t="inlineStr">
        <is>
          <t>test-results/dev-2-full.json</t>
        </is>
      </c>
    </row>
    <row r="127">
      <c r="A127" s="34" t="inlineStr">
        <is>
          <t>Full desktop</t>
        </is>
      </c>
      <c r="B127" s="34" t="inlineStr">
        <is>
          <t>chromium-desktop</t>
        </is>
      </c>
      <c r="C127" s="34" t="inlineStr">
        <is>
          <t>MS-DSC-003</t>
        </is>
      </c>
      <c r="D127" s="34" t="inlineStr">
        <is>
          <t>MS-DSC-003 sheet sticker category lists expected product links</t>
        </is>
      </c>
      <c r="E127" s="35" t="inlineStr">
        <is>
          <t>expected</t>
        </is>
      </c>
      <c r="F127" s="34" t="n">
        <v>7725</v>
      </c>
      <c r="G127" s="34" t="inlineStr"/>
      <c r="H127" s="34" t="inlineStr">
        <is>
          <t>test-results/dev-2-full.json</t>
        </is>
      </c>
    </row>
    <row r="128">
      <c r="A128" s="34" t="inlineStr">
        <is>
          <t>Full desktop</t>
        </is>
      </c>
      <c r="B128" s="34" t="inlineStr">
        <is>
          <t>chromium-desktop</t>
        </is>
      </c>
      <c r="C128" s="34" t="inlineStr">
        <is>
          <t>MS-DSC-004</t>
        </is>
      </c>
      <c r="D128" s="34" t="inlineStr">
        <is>
          <t>MS-DSC-004 FAQ topics and accordions are usable</t>
        </is>
      </c>
      <c r="E128" s="35" t="inlineStr">
        <is>
          <t>expected</t>
        </is>
      </c>
      <c r="F128" s="34" t="n">
        <v>6003</v>
      </c>
      <c r="G128" s="34" t="inlineStr"/>
      <c r="H128" s="34" t="inlineStr">
        <is>
          <t>test-results/dev-2-full.json</t>
        </is>
      </c>
    </row>
    <row r="129">
      <c r="A129" s="34" t="inlineStr">
        <is>
          <t>Full desktop</t>
        </is>
      </c>
      <c r="B129" s="34" t="inlineStr">
        <is>
          <t>chromium-desktop</t>
        </is>
      </c>
      <c r="C129" s="34" t="inlineStr">
        <is>
          <t>MS-DSC-005</t>
        </is>
      </c>
      <c r="D129" s="34" t="inlineStr">
        <is>
          <t>MS-DSC-005 FAQ search filters and resets content</t>
        </is>
      </c>
      <c r="E129" s="35" t="inlineStr">
        <is>
          <t>expected</t>
        </is>
      </c>
      <c r="F129" s="34" t="n">
        <v>3973</v>
      </c>
      <c r="G129" s="34" t="inlineStr"/>
      <c r="H129" s="34" t="inlineStr">
        <is>
          <t>test-results/dev-2-full.json</t>
        </is>
      </c>
    </row>
    <row r="130">
      <c r="A130" s="34" t="inlineStr">
        <is>
          <t>Full desktop</t>
        </is>
      </c>
      <c r="B130" s="34" t="inlineStr">
        <is>
          <t>chromium-desktop</t>
        </is>
      </c>
      <c r="C130" s="34" t="inlineStr">
        <is>
          <t>MS-DSC-008</t>
        </is>
      </c>
      <c r="D130" s="34" t="inlineStr">
        <is>
          <t>MS-DSC-008 footer order link selects its FAQ topic and survives reload</t>
        </is>
      </c>
      <c r="E130" s="35" t="inlineStr">
        <is>
          <t>expected</t>
        </is>
      </c>
      <c r="F130" s="34" t="n">
        <v>13321</v>
      </c>
      <c r="G130" s="34" t="inlineStr"/>
      <c r="H130" s="34" t="inlineStr">
        <is>
          <t>test-results/dev-2-full.json</t>
        </is>
      </c>
    </row>
    <row r="131">
      <c r="A131" s="34" t="inlineStr">
        <is>
          <t>Full desktop</t>
        </is>
      </c>
      <c r="B131" s="34" t="inlineStr">
        <is>
          <t>chromium-desktop</t>
        </is>
      </c>
      <c r="C131" s="34" t="inlineStr">
        <is>
          <t>MS-DSC-009</t>
        </is>
      </c>
      <c r="D131" s="34" t="inlineStr">
        <is>
          <t>MS-DSC-009 footer artwork link selects its FAQ topic and survives reload</t>
        </is>
      </c>
      <c r="E131" s="35" t="inlineStr">
        <is>
          <t>expected</t>
        </is>
      </c>
      <c r="F131" s="34" t="n">
        <v>12221</v>
      </c>
      <c r="G131" s="34" t="inlineStr"/>
      <c r="H131" s="34" t="inlineStr">
        <is>
          <t>test-results/dev-2-full.json</t>
        </is>
      </c>
    </row>
    <row r="132">
      <c r="A132" s="34" t="inlineStr">
        <is>
          <t>Full desktop</t>
        </is>
      </c>
      <c r="B132" s="34" t="inlineStr">
        <is>
          <t>chromium-desktop</t>
        </is>
      </c>
      <c r="C132" s="34" t="inlineStr">
        <is>
          <t>MS-DSC-010</t>
        </is>
      </c>
      <c r="D132" s="34" t="inlineStr">
        <is>
          <t>MS-DSC-010 footer shipping link selects its FAQ topic and survives reload</t>
        </is>
      </c>
      <c r="E132" s="35" t="inlineStr">
        <is>
          <t>expected</t>
        </is>
      </c>
      <c r="F132" s="34" t="n">
        <v>12380</v>
      </c>
      <c r="G132" s="34" t="inlineStr"/>
      <c r="H132" s="34" t="inlineStr">
        <is>
          <t>test-results/dev-2-full.json</t>
        </is>
      </c>
    </row>
    <row r="133">
      <c r="A133" s="34" t="inlineStr">
        <is>
          <t>Full desktop</t>
        </is>
      </c>
      <c r="B133" s="34" t="inlineStr">
        <is>
          <t>chromium-desktop</t>
        </is>
      </c>
      <c r="C133" s="34" t="inlineStr">
        <is>
          <t>MS-DSC-011</t>
        </is>
      </c>
      <c r="D133" s="34" t="inlineStr">
        <is>
          <t>MS-DSC-011 footer refund link selects its FAQ topic and survives reload</t>
        </is>
      </c>
      <c r="E133" s="35" t="inlineStr">
        <is>
          <t>expected</t>
        </is>
      </c>
      <c r="F133" s="34" t="n">
        <v>13990</v>
      </c>
      <c r="G133" s="34" t="inlineStr"/>
      <c r="H133" s="34" t="inlineStr">
        <is>
          <t>test-results/dev-2-full.json</t>
        </is>
      </c>
    </row>
    <row r="134">
      <c r="A134" s="34" t="inlineStr">
        <is>
          <t>Full desktop</t>
        </is>
      </c>
      <c r="B134" s="34" t="inlineStr">
        <is>
          <t>chromium-desktop</t>
        </is>
      </c>
      <c r="C134" s="34" t="inlineStr">
        <is>
          <t>MS-DSC-012</t>
        </is>
      </c>
      <c r="D134" s="34" t="inlineStr">
        <is>
          <t>MS-DSC-012 footer terms link renders its public content</t>
        </is>
      </c>
      <c r="E134" s="35" t="inlineStr">
        <is>
          <t>expected</t>
        </is>
      </c>
      <c r="F134" s="34" t="n">
        <v>15019</v>
      </c>
      <c r="G134" s="34" t="inlineStr"/>
      <c r="H134" s="34" t="inlineStr">
        <is>
          <t>test-results/dev-2-full.json</t>
        </is>
      </c>
    </row>
    <row r="135">
      <c r="A135" s="34" t="inlineStr">
        <is>
          <t>Full desktop</t>
        </is>
      </c>
      <c r="B135" s="34" t="inlineStr">
        <is>
          <t>chromium-desktop</t>
        </is>
      </c>
      <c r="C135" s="34" t="inlineStr">
        <is>
          <t>MS-DSC-013</t>
        </is>
      </c>
      <c r="D135" s="34" t="inlineStr">
        <is>
          <t>MS-DSC-013 footer privacy link renders its public content</t>
        </is>
      </c>
      <c r="E135" s="35" t="inlineStr">
        <is>
          <t>expected</t>
        </is>
      </c>
      <c r="F135" s="34" t="n">
        <v>13708</v>
      </c>
      <c r="G135" s="34" t="inlineStr"/>
      <c r="H135" s="34" t="inlineStr">
        <is>
          <t>test-results/dev-2-full.json</t>
        </is>
      </c>
    </row>
    <row r="136">
      <c r="A136" s="34" t="inlineStr">
        <is>
          <t>Full desktop</t>
        </is>
      </c>
      <c r="B136" s="34" t="inlineStr">
        <is>
          <t>chromium-desktop</t>
        </is>
      </c>
      <c r="C136" s="34" t="inlineStr">
        <is>
          <t>MS-DSC-014</t>
        </is>
      </c>
      <c r="D136" s="34" t="inlineStr">
        <is>
          <t>MS-DSC-014 footer licenses link renders its public content</t>
        </is>
      </c>
      <c r="E136" s="35" t="inlineStr">
        <is>
          <t>expected</t>
        </is>
      </c>
      <c r="F136" s="34" t="n">
        <v>17115</v>
      </c>
      <c r="G136" s="34" t="inlineStr"/>
      <c r="H136" s="34" t="inlineStr">
        <is>
          <t>test-results/dev-2-full.json</t>
        </is>
      </c>
    </row>
    <row r="137">
      <c r="A137" s="34" t="inlineStr">
        <is>
          <t>Full desktop</t>
        </is>
      </c>
      <c r="B137" s="34" t="inlineStr">
        <is>
          <t>chromium-desktop</t>
        </is>
      </c>
      <c r="C137" s="34" t="inlineStr">
        <is>
          <t>MS-DSC-015</t>
        </is>
      </c>
      <c r="D137" s="34" t="inlineStr">
        <is>
          <t>MS-DSC-015 footer announcements link renders its public content</t>
        </is>
      </c>
      <c r="E137" s="35" t="inlineStr">
        <is>
          <t>expected</t>
        </is>
      </c>
      <c r="F137" s="34" t="n">
        <v>15600</v>
      </c>
      <c r="G137" s="34" t="inlineStr"/>
      <c r="H137" s="34" t="inlineStr">
        <is>
          <t>test-results/dev-2-full.json</t>
        </is>
      </c>
    </row>
    <row r="138">
      <c r="A138" s="34" t="inlineStr">
        <is>
          <t>Full desktop</t>
        </is>
      </c>
      <c r="B138" s="34" t="inlineStr">
        <is>
          <t>chromium-desktop</t>
        </is>
      </c>
      <c r="C138" s="34" t="inlineStr">
        <is>
          <t>MS-INQ-001</t>
        </is>
      </c>
      <c r="D138" s="34" t="inlineStr">
        <is>
          <t>MS-INQ-001 inquiry form validates blank and invalid email submissions</t>
        </is>
      </c>
      <c r="E138" s="35" t="inlineStr">
        <is>
          <t>expected</t>
        </is>
      </c>
      <c r="F138" s="34" t="n">
        <v>7057</v>
      </c>
      <c r="G138" s="34" t="inlineStr"/>
      <c r="H138" s="34" t="inlineStr">
        <is>
          <t>test-results/dev-2-full.json</t>
        </is>
      </c>
    </row>
    <row r="139">
      <c r="A139" s="34" t="inlineStr">
        <is>
          <t>Full desktop</t>
        </is>
      </c>
      <c r="B139" s="34" t="inlineStr">
        <is>
          <t>chromium-desktop</t>
        </is>
      </c>
      <c r="C139" s="34" t="inlineStr">
        <is>
          <t>MS-INQ-002</t>
        </is>
      </c>
      <c r="D139" s="34" t="inlineStr">
        <is>
          <t>MS-INQ-002 inquiry form documents supported attachment constraints</t>
        </is>
      </c>
      <c r="E139" s="35" t="inlineStr">
        <is>
          <t>expected</t>
        </is>
      </c>
      <c r="F139" s="34" t="n">
        <v>6766</v>
      </c>
      <c r="G139" s="34" t="inlineStr"/>
      <c r="H139" s="34" t="inlineStr">
        <is>
          <t>test-results/dev-2-full.json</t>
        </is>
      </c>
    </row>
    <row r="140">
      <c r="A140" s="34" t="inlineStr">
        <is>
          <t>Full desktop</t>
        </is>
      </c>
      <c r="B140" s="34" t="inlineStr">
        <is>
          <t>chromium-desktop</t>
        </is>
      </c>
      <c r="C140" s="34" t="inlineStr">
        <is>
          <t>MS-INQ-003</t>
        </is>
      </c>
      <c r="D140" s="34" t="inlineStr">
        <is>
          <t>MS-INQ-003 external inquiry links point to Kakao and Naver destinations</t>
        </is>
      </c>
      <c r="E140" s="35" t="inlineStr">
        <is>
          <t>expected</t>
        </is>
      </c>
      <c r="F140" s="34" t="n">
        <v>3673</v>
      </c>
      <c r="G140" s="34" t="inlineStr"/>
      <c r="H140" s="34" t="inlineStr">
        <is>
          <t>test-results/dev-2-full.json</t>
        </is>
      </c>
    </row>
    <row r="141">
      <c r="A141" s="34" t="inlineStr">
        <is>
          <t>Full desktop</t>
        </is>
      </c>
      <c r="B141" s="34" t="inlineStr">
        <is>
          <t>chromium-desktop</t>
        </is>
      </c>
      <c r="C141" s="34" t="inlineStr">
        <is>
          <t>MS-NAV-009</t>
        </is>
      </c>
      <c r="D141" s="34" t="inlineStr">
        <is>
          <t>MS-NAV-009 search recovers from no results when the query is replaced</t>
        </is>
      </c>
      <c r="E141" s="35" t="inlineStr">
        <is>
          <t>expected</t>
        </is>
      </c>
      <c r="F141" s="34" t="n">
        <v>6755</v>
      </c>
      <c r="G141" s="34" t="inlineStr"/>
      <c r="H141" s="34" t="inlineStr">
        <is>
          <t>test-results/dev-2-full.json</t>
        </is>
      </c>
    </row>
    <row r="142">
      <c r="A142" s="34" t="inlineStr">
        <is>
          <t>Full desktop</t>
        </is>
      </c>
      <c r="B142" s="34" t="inlineStr">
        <is>
          <t>chromium-desktop</t>
        </is>
      </c>
      <c r="C142" s="34" t="inlineStr">
        <is>
          <t>MS-NAV-010</t>
        </is>
      </c>
      <c r="D142" s="34" t="inlineStr">
        <is>
          <t>MS-NAV-010 selecting a search result opens the product and closes search</t>
        </is>
      </c>
      <c r="E142" s="35" t="inlineStr">
        <is>
          <t>expected</t>
        </is>
      </c>
      <c r="F142" s="34" t="n">
        <v>10913</v>
      </c>
      <c r="G142" s="34" t="inlineStr"/>
      <c r="H142" s="34" t="inlineStr">
        <is>
          <t>test-results/dev-2-full.json</t>
        </is>
      </c>
    </row>
    <row r="143">
      <c r="A143" s="34" t="inlineStr">
        <is>
          <t>Full desktop</t>
        </is>
      </c>
      <c r="B143" s="34" t="inlineStr">
        <is>
          <t>chromium-desktop</t>
        </is>
      </c>
      <c r="C143" s="34" t="inlineStr">
        <is>
          <t>MS-NAV-011</t>
        </is>
      </c>
      <c r="D143" s="34" t="inlineStr">
        <is>
          <t>MS-NAV-011 public root entry renders the storefront with localized support links</t>
        </is>
      </c>
      <c r="E143" s="35" t="inlineStr">
        <is>
          <t>expected</t>
        </is>
      </c>
      <c r="F143" s="34" t="n">
        <v>3408</v>
      </c>
      <c r="G143" s="34" t="inlineStr"/>
      <c r="H143" s="34" t="inlineStr">
        <is>
          <t>test-results/dev-2-full.json</t>
        </is>
      </c>
    </row>
    <row r="144">
      <c r="A144" s="34" t="inlineStr">
        <is>
          <t>Full desktop</t>
        </is>
      </c>
      <c r="B144" s="34" t="inlineStr">
        <is>
          <t>chromium-desktop</t>
        </is>
      </c>
      <c r="C144" s="34" t="inlineStr">
        <is>
          <t>MS-NAV-001</t>
        </is>
      </c>
      <c r="D144" s="34" t="inlineStr">
        <is>
          <t>MS-NAV-001 homepage loads with critical public content</t>
        </is>
      </c>
      <c r="E144" s="35" t="inlineStr">
        <is>
          <t>expected</t>
        </is>
      </c>
      <c r="F144" s="34" t="n">
        <v>5755</v>
      </c>
      <c r="G144" s="34" t="inlineStr"/>
      <c r="H144" s="34" t="inlineStr">
        <is>
          <t>test-results/dev-2-full.json</t>
        </is>
      </c>
    </row>
    <row r="145">
      <c r="A145" s="34" t="inlineStr">
        <is>
          <t>Full desktop</t>
        </is>
      </c>
      <c r="B145" s="34" t="inlineStr">
        <is>
          <t>chromium-desktop</t>
        </is>
      </c>
      <c r="C145" s="34" t="inlineStr">
        <is>
          <t>MS-NAV-002</t>
        </is>
      </c>
      <c r="D145" s="34" t="inlineStr">
        <is>
          <t>MS-NAV-002 header navigation opens each category product menu</t>
        </is>
      </c>
      <c r="E145" s="35" t="inlineStr">
        <is>
          <t>expected</t>
        </is>
      </c>
      <c r="F145" s="34" t="n">
        <v>8084</v>
      </c>
      <c r="G145" s="34" t="inlineStr"/>
      <c r="H145" s="34" t="inlineStr">
        <is>
          <t>test-results/dev-2-full.json</t>
        </is>
      </c>
    </row>
    <row r="146">
      <c r="A146" s="34" t="inlineStr">
        <is>
          <t>Full desktop</t>
        </is>
      </c>
      <c r="B146" s="34" t="inlineStr">
        <is>
          <t>chromium-desktop</t>
        </is>
      </c>
      <c r="C146" s="34" t="inlineStr">
        <is>
          <t>MS-NAV-003</t>
        </is>
      </c>
      <c r="D146" s="34" t="inlineStr">
        <is>
          <t>MS-NAV-003 header search opens and finds hologram sticker content</t>
        </is>
      </c>
      <c r="E146" s="35" t="inlineStr">
        <is>
          <t>expected</t>
        </is>
      </c>
      <c r="F146" s="34" t="n">
        <v>11204</v>
      </c>
      <c r="G146" s="34" t="inlineStr"/>
      <c r="H146" s="34" t="inlineStr">
        <is>
          <t>test-results/dev-2-full.json</t>
        </is>
      </c>
    </row>
    <row r="147">
      <c r="A147" s="34" t="inlineStr">
        <is>
          <t>Full desktop</t>
        </is>
      </c>
      <c r="B147" s="34" t="inlineStr">
        <is>
          <t>chromium-desktop</t>
        </is>
      </c>
      <c r="C147" s="34" t="inlineStr">
        <is>
          <t>MS-NAV-004</t>
        </is>
      </c>
      <c r="D147" s="34" t="inlineStr">
        <is>
          <t>MS-NAV-004 empty cart opens without broken state</t>
        </is>
      </c>
      <c r="E147" s="35" t="inlineStr">
        <is>
          <t>expected</t>
        </is>
      </c>
      <c r="F147" s="34" t="n">
        <v>4733</v>
      </c>
      <c r="G147" s="34" t="inlineStr"/>
      <c r="H147" s="34" t="inlineStr">
        <is>
          <t>test-results/dev-2-full.json</t>
        </is>
      </c>
    </row>
    <row r="148">
      <c r="A148" s="34" t="inlineStr">
        <is>
          <t>Full desktop</t>
        </is>
      </c>
      <c r="B148" s="34" t="inlineStr">
        <is>
          <t>chromium-desktop</t>
        </is>
      </c>
      <c r="C148" s="34" t="inlineStr">
        <is>
          <t>MS-NAV-005</t>
        </is>
      </c>
      <c r="D148" s="34" t="inlineStr">
        <is>
          <t>MS-NAV-005 account icon routes anonymous users to authentication</t>
        </is>
      </c>
      <c r="E148" s="35" t="inlineStr">
        <is>
          <t>expected</t>
        </is>
      </c>
      <c r="F148" s="34" t="n">
        <v>16914</v>
      </c>
      <c r="G148" s="34" t="inlineStr"/>
      <c r="H148" s="34" t="inlineStr">
        <is>
          <t>test-results/dev-2-full.json</t>
        </is>
      </c>
    </row>
    <row r="149">
      <c r="A149" s="34" t="inlineStr">
        <is>
          <t>Full desktop</t>
        </is>
      </c>
      <c r="B149" s="34" t="inlineStr">
        <is>
          <t>chromium-desktop</t>
        </is>
      </c>
      <c r="C149" s="34" t="inlineStr">
        <is>
          <t>MS-NAV-006</t>
        </is>
      </c>
      <c r="D149" s="34" t="inlineStr">
        <is>
          <t>MS-NAV-006 footer legal and support links are reachable</t>
        </is>
      </c>
      <c r="E149" s="37" t="inlineStr">
        <is>
          <t>unexpected</t>
        </is>
      </c>
      <c r="F149" s="34" t="n">
        <v>62980</v>
      </c>
      <c r="G149" s="34" t="inlineStr">
        <is>
          <t>Test timeout of 60000ms exceeded. | Error: Unexpected browser console errors or warnings</t>
        </is>
      </c>
      <c r="H149" s="34" t="inlineStr">
        <is>
          <t>test-results/dev-2-full.json</t>
        </is>
      </c>
    </row>
    <row r="150">
      <c r="A150" s="34" t="inlineStr">
        <is>
          <t>Full desktop</t>
        </is>
      </c>
      <c r="B150" s="34" t="inlineStr">
        <is>
          <t>chromium-desktop</t>
        </is>
      </c>
      <c r="C150" s="34" t="inlineStr">
        <is>
          <t>MS-NAV-007</t>
        </is>
      </c>
      <c r="D150" s="34" t="inlineStr">
        <is>
          <t>MS-NAV-007 Korean locale control is stable</t>
        </is>
      </c>
      <c r="E150" s="35" t="inlineStr">
        <is>
          <t>expected</t>
        </is>
      </c>
      <c r="F150" s="34" t="n">
        <v>4210</v>
      </c>
      <c r="G150" s="34" t="inlineStr"/>
      <c r="H150" s="34" t="inlineStr">
        <is>
          <t>test-results/dev-2-full.json</t>
        </is>
      </c>
    </row>
    <row r="151">
      <c r="A151" s="34" t="inlineStr">
        <is>
          <t>Full desktop</t>
        </is>
      </c>
      <c r="B151" s="34" t="inlineStr">
        <is>
          <t>chromium-desktop</t>
        </is>
      </c>
      <c r="C151" s="34" t="inlineStr">
        <is>
          <t>MS-SEC-001</t>
        </is>
      </c>
      <c r="D151" s="34" t="inlineStr">
        <is>
          <t>MS-SEC-001 first-party musticker hosts are in scope</t>
        </is>
      </c>
      <c r="E151" s="35" t="inlineStr">
        <is>
          <t>expected</t>
        </is>
      </c>
      <c r="F151" s="34" t="n">
        <v>10</v>
      </c>
      <c r="G151" s="34" t="inlineStr"/>
      <c r="H151" s="34" t="inlineStr">
        <is>
          <t>test-results/dev-2-full.json</t>
        </is>
      </c>
    </row>
    <row r="152">
      <c r="A152" s="34" t="inlineStr">
        <is>
          <t>Full desktop</t>
        </is>
      </c>
      <c r="B152" s="34" t="inlineStr">
        <is>
          <t>chromium-desktop</t>
        </is>
      </c>
      <c r="C152" s="34" t="inlineStr">
        <is>
          <t>MS-SEC-002</t>
        </is>
      </c>
      <c r="D152" s="34" t="inlineStr">
        <is>
          <t>MS-SEC-002 third-party and look-alike hosts are out of scope</t>
        </is>
      </c>
      <c r="E152" s="35" t="inlineStr">
        <is>
          <t>expected</t>
        </is>
      </c>
      <c r="F152" s="34" t="n">
        <v>12</v>
      </c>
      <c r="G152" s="34" t="inlineStr"/>
      <c r="H152" s="34" t="inlineStr">
        <is>
          <t>test-results/dev-2-full.json</t>
        </is>
      </c>
    </row>
    <row r="153">
      <c r="A153" s="34" t="inlineStr">
        <is>
          <t>Full desktop</t>
        </is>
      </c>
      <c r="B153" s="34" t="inlineStr">
        <is>
          <t>chromium-desktop</t>
        </is>
      </c>
      <c r="C153" s="34" t="inlineStr">
        <is>
          <t>MS-SEC-003</t>
        </is>
      </c>
      <c r="D153" s="34" t="inlineStr">
        <is>
          <t>MS-SEC-003 each environment resolves to its own key</t>
        </is>
      </c>
      <c r="E153" s="35" t="inlineStr">
        <is>
          <t>expected</t>
        </is>
      </c>
      <c r="F153" s="34" t="n">
        <v>11</v>
      </c>
      <c r="G153" s="34" t="inlineStr"/>
      <c r="H153" s="34" t="inlineStr">
        <is>
          <t>test-results/dev-2-full.json</t>
        </is>
      </c>
    </row>
    <row r="154">
      <c r="A154" s="34" t="inlineStr">
        <is>
          <t>Full desktop</t>
        </is>
      </c>
      <c r="B154" s="34" t="inlineStr">
        <is>
          <t>chromium-desktop</t>
        </is>
      </c>
      <c r="C154" s="34" t="inlineStr">
        <is>
          <t>MS-SEC-004</t>
        </is>
      </c>
      <c r="D154" s="34" t="inlineStr">
        <is>
          <t>MS-SEC-004 an unrecognised environment gets no key at all</t>
        </is>
      </c>
      <c r="E154" s="35" t="inlineStr">
        <is>
          <t>expected</t>
        </is>
      </c>
      <c r="F154" s="34" t="n">
        <v>2</v>
      </c>
      <c r="G154" s="34" t="inlineStr"/>
      <c r="H154" s="34" t="inlineStr">
        <is>
          <t>test-results/dev-2-full.json</t>
        </is>
      </c>
    </row>
    <row r="155">
      <c r="A155" s="34" t="inlineStr">
        <is>
          <t>Full desktop</t>
        </is>
      </c>
      <c r="B155" s="34" t="inlineStr">
        <is>
          <t>chromium-desktop</t>
        </is>
      </c>
      <c r="C155" s="34" t="inlineStr">
        <is>
          <t>MS-WAF-001</t>
        </is>
      </c>
      <c r="D155" s="34" t="inlineStr">
        <is>
          <t>MS-WAF-001 a subresource 403 storm is reported as throttling, not as missing content</t>
        </is>
      </c>
      <c r="E155" s="35" t="inlineStr">
        <is>
          <t>expected</t>
        </is>
      </c>
      <c r="F155" s="34" t="n">
        <v>56072</v>
      </c>
      <c r="G155" s="34" t="inlineStr"/>
      <c r="H155" s="34" t="inlineStr">
        <is>
          <t>test-results/dev-2-full.json</t>
        </is>
      </c>
    </row>
    <row r="156">
      <c r="A156" s="34" t="inlineStr">
        <is>
          <t>Full desktop</t>
        </is>
      </c>
      <c r="B156" s="34" t="inlineStr">
        <is>
          <t>chromium-desktop</t>
        </is>
      </c>
      <c r="C156" s="34" t="inlineStr">
        <is>
          <t>MS-WAF-002</t>
        </is>
      </c>
      <c r="D156" s="34" t="inlineStr">
        <is>
          <t>MS-WAF-002 a clean page is returned untouched</t>
        </is>
      </c>
      <c r="E156" s="35" t="inlineStr">
        <is>
          <t>expected</t>
        </is>
      </c>
      <c r="F156" s="34" t="n">
        <v>675</v>
      </c>
      <c r="G156" s="34" t="inlineStr"/>
      <c r="H156" s="34" t="inlineStr">
        <is>
          <t>test-results/dev-2-full.json</t>
        </is>
      </c>
    </row>
    <row r="157">
      <c r="A157" s="34" t="inlineStr">
        <is>
          <t>Full desktop</t>
        </is>
      </c>
      <c r="B157" s="34" t="inlineStr">
        <is>
          <t>chromium-desktop</t>
        </is>
      </c>
      <c r="C157" s="34" t="inlineStr">
        <is>
          <t>MS-WAF-003</t>
        </is>
      </c>
      <c r="D157" s="34" t="inlineStr">
        <is>
          <t>MS-WAF-003 one refused asset is left alone, not relabelled as throttling</t>
        </is>
      </c>
      <c r="E157" s="35" t="inlineStr">
        <is>
          <t>expected</t>
        </is>
      </c>
      <c r="F157" s="34" t="n">
        <v>234</v>
      </c>
      <c r="G157" s="34" t="inlineStr"/>
      <c r="H157" s="34" t="inlineStr">
        <is>
          <t>test-results/dev-2-full.json</t>
        </is>
      </c>
    </row>
    <row r="158">
      <c r="A158" s="34" t="inlineStr">
        <is>
          <t>Full desktop</t>
        </is>
      </c>
      <c r="B158" s="34" t="inlineStr">
        <is>
          <t>chromium-desktop</t>
        </is>
      </c>
      <c r="C158" s="34" t="inlineStr">
        <is>
          <t>MS-SHT-001</t>
        </is>
      </c>
      <c r="D158" s="34" t="inlineStr">
        <is>
          <t>MS-SHT-001 원형 판스티커 rejects a custom size that fits only one sticker per sheet</t>
        </is>
      </c>
      <c r="E158" s="35" t="inlineStr">
        <is>
          <t>expected</t>
        </is>
      </c>
      <c r="F158" s="34" t="n">
        <v>10152</v>
      </c>
      <c r="G158" s="34" t="inlineStr"/>
      <c r="H158" s="34" t="inlineStr">
        <is>
          <t>test-results/dev-2-full.json</t>
        </is>
      </c>
    </row>
    <row r="159">
      <c r="A159" s="34" t="inlineStr">
        <is>
          <t>Full desktop</t>
        </is>
      </c>
      <c r="B159" s="34" t="inlineStr">
        <is>
          <t>chromium-desktop</t>
        </is>
      </c>
      <c r="C159" s="34" t="inlineStr">
        <is>
          <t>MS-SHT-001</t>
        </is>
      </c>
      <c r="D159" s="34" t="inlineStr">
        <is>
          <t>MS-SHT-001 타원형 판스티커 rejects a custom size that fits only one sticker per sheet</t>
        </is>
      </c>
      <c r="E159" s="35" t="inlineStr">
        <is>
          <t>expected</t>
        </is>
      </c>
      <c r="F159" s="34" t="n">
        <v>24187</v>
      </c>
      <c r="G159" s="34" t="inlineStr"/>
      <c r="H159" s="34" t="inlineStr">
        <is>
          <t>test-results/dev-2-full.json</t>
        </is>
      </c>
    </row>
    <row r="160">
      <c r="A160" s="34" t="inlineStr">
        <is>
          <t>Full desktop</t>
        </is>
      </c>
      <c r="B160" s="34" t="inlineStr">
        <is>
          <t>chromium-desktop</t>
        </is>
      </c>
      <c r="C160" s="34" t="inlineStr">
        <is>
          <t>MS-SHT-001</t>
        </is>
      </c>
      <c r="D160" s="34" t="inlineStr">
        <is>
          <t>MS-SHT-001 정사각형 판스티커 rejects a custom size that fits only one sticker per sheet</t>
        </is>
      </c>
      <c r="E160" s="35" t="inlineStr">
        <is>
          <t>expected</t>
        </is>
      </c>
      <c r="F160" s="34" t="n">
        <v>9942</v>
      </c>
      <c r="G160" s="34" t="inlineStr"/>
      <c r="H160" s="34" t="inlineStr">
        <is>
          <t>test-results/dev-2-full.json</t>
        </is>
      </c>
    </row>
    <row r="161">
      <c r="A161" s="34" t="inlineStr">
        <is>
          <t>Full desktop</t>
        </is>
      </c>
      <c r="B161" s="34" t="inlineStr">
        <is>
          <t>chromium-desktop</t>
        </is>
      </c>
      <c r="C161" s="34" t="inlineStr">
        <is>
          <t>MS-SHT-001</t>
        </is>
      </c>
      <c r="D161" s="34" t="inlineStr">
        <is>
          <t>MS-SHT-001 직사각형 판스티커 rejects a custom size that fits only one sticker per sheet</t>
        </is>
      </c>
      <c r="E161" s="35" t="inlineStr">
        <is>
          <t>expected</t>
        </is>
      </c>
      <c r="F161" s="34" t="n">
        <v>19704</v>
      </c>
      <c r="G161" s="34" t="inlineStr"/>
      <c r="H161" s="34" t="inlineStr">
        <is>
          <t>test-results/dev-2-full.json</t>
        </is>
      </c>
    </row>
    <row r="162">
      <c r="A162" s="34" t="inlineStr">
        <is>
          <t>Full desktop</t>
        </is>
      </c>
      <c r="B162" s="34" t="inlineStr">
        <is>
          <t>chromium-desktop</t>
        </is>
      </c>
      <c r="C162" s="34" t="inlineStr">
        <is>
          <t>MS-SHT-001</t>
        </is>
      </c>
      <c r="D162" s="34" t="inlineStr">
        <is>
          <t>MS-SHT-001 둥근 사각 판스티커 rejects a custom size that fits only one sticker per sheet</t>
        </is>
      </c>
      <c r="E162" s="35" t="inlineStr">
        <is>
          <t>expected</t>
        </is>
      </c>
      <c r="F162" s="34" t="n">
        <v>17779</v>
      </c>
      <c r="G162" s="34" t="inlineStr"/>
      <c r="H162" s="34" t="inlineStr">
        <is>
          <t>test-results/dev-2-full.json</t>
        </is>
      </c>
    </row>
    <row r="163">
      <c r="A163" s="34" t="inlineStr">
        <is>
          <t>Full desktop</t>
        </is>
      </c>
      <c r="B163" s="34" t="inlineStr">
        <is>
          <t>chromium-desktop</t>
        </is>
      </c>
      <c r="C163" s="34" t="inlineStr">
        <is>
          <t>MS-SHT-002</t>
        </is>
      </c>
      <c r="D163" s="34" t="inlineStr">
        <is>
          <t>MS-SHT-002 circle sheet sticker: the 138x97 gate is exact</t>
        </is>
      </c>
      <c r="E163" s="35" t="inlineStr">
        <is>
          <t>expected</t>
        </is>
      </c>
      <c r="F163" s="34" t="n">
        <v>30806</v>
      </c>
      <c r="G163" s="34" t="inlineStr"/>
      <c r="H163" s="34" t="inlineStr">
        <is>
          <t>test-results/dev-2-full.json</t>
        </is>
      </c>
    </row>
    <row r="164">
      <c r="A164" s="34" t="inlineStr">
        <is>
          <t>Full desktop</t>
        </is>
      </c>
      <c r="B164" s="34" t="inlineStr">
        <is>
          <t>chromium-desktop</t>
        </is>
      </c>
      <c r="C164" s="34" t="inlineStr">
        <is>
          <t>MS-SHT-006</t>
        </is>
      </c>
      <c r="D164" s="34" t="inlineStr">
        <is>
          <t>MS-SHT-006 circle sheet sticker: 138x97 packs 2 per sheet and is orderable</t>
        </is>
      </c>
      <c r="E164" s="35" t="inlineStr">
        <is>
          <t>expected</t>
        </is>
      </c>
      <c r="F164" s="34" t="n">
        <v>15417</v>
      </c>
      <c r="G164" s="34" t="inlineStr"/>
      <c r="H164" s="34" t="inlineStr">
        <is>
          <t>test-results/dev-2-full.json</t>
        </is>
      </c>
    </row>
    <row r="165">
      <c r="A165" s="34" t="inlineStr">
        <is>
          <t>Full desktop</t>
        </is>
      </c>
      <c r="B165" s="34" t="inlineStr">
        <is>
          <t>chromium-desktop</t>
        </is>
      </c>
      <c r="C165" s="34" t="inlineStr">
        <is>
          <t>MS-SHT-006</t>
        </is>
      </c>
      <c r="D165" s="34" t="inlineStr">
        <is>
          <t>MS-SHT-006 circle sheet sticker: 97x97 packs 2 per sheet and is orderable</t>
        </is>
      </c>
      <c r="E165" s="35" t="inlineStr">
        <is>
          <t>expected</t>
        </is>
      </c>
      <c r="F165" s="34" t="n">
        <v>18531</v>
      </c>
      <c r="G165" s="34" t="inlineStr"/>
      <c r="H165" s="34" t="inlineStr">
        <is>
          <t>test-results/dev-2-full.json</t>
        </is>
      </c>
    </row>
    <row r="166">
      <c r="A166" s="34" t="inlineStr">
        <is>
          <t>Full desktop</t>
        </is>
      </c>
      <c r="B166" s="34" t="inlineStr">
        <is>
          <t>chromium-desktop</t>
        </is>
      </c>
      <c r="C166" s="34" t="inlineStr">
        <is>
          <t>MS-SHT-006</t>
        </is>
      </c>
      <c r="D166" s="34" t="inlineStr">
        <is>
          <t>MS-SHT-006 circle sheet sticker: 66x97 packs 4 per sheet and is orderable</t>
        </is>
      </c>
      <c r="E166" s="35" t="inlineStr">
        <is>
          <t>expected</t>
        </is>
      </c>
      <c r="F166" s="34" t="n">
        <v>13268</v>
      </c>
      <c r="G166" s="34" t="inlineStr"/>
      <c r="H166" s="34" t="inlineStr">
        <is>
          <t>test-results/dev-2-full.json</t>
        </is>
      </c>
    </row>
    <row r="167">
      <c r="A167" s="34" t="inlineStr">
        <is>
          <t>Full desktop</t>
        </is>
      </c>
      <c r="B167" s="34" t="inlineStr">
        <is>
          <t>chromium-desktop</t>
        </is>
      </c>
      <c r="C167" s="34" t="inlineStr">
        <is>
          <t>MS-SHT-006</t>
        </is>
      </c>
      <c r="D167" s="34" t="inlineStr">
        <is>
          <t>MS-SHT-006 circle sheet sticker: 67x97 packs 2 per sheet and is orderable</t>
        </is>
      </c>
      <c r="E167" s="35" t="inlineStr">
        <is>
          <t>expected</t>
        </is>
      </c>
      <c r="F167" s="34" t="n">
        <v>18190</v>
      </c>
      <c r="G167" s="34" t="inlineStr"/>
      <c r="H167" s="34" t="inlineStr">
        <is>
          <t>test-results/dev-2-full.json</t>
        </is>
      </c>
    </row>
    <row r="168">
      <c r="A168" s="34" t="inlineStr">
        <is>
          <t>Full desktop</t>
        </is>
      </c>
      <c r="B168" s="34" t="inlineStr">
        <is>
          <t>chromium-desktop</t>
        </is>
      </c>
      <c r="C168" s="34" t="inlineStr">
        <is>
          <t>MS-SHT-006</t>
        </is>
      </c>
      <c r="D168" s="34" t="inlineStr">
        <is>
          <t>MS-SHT-006 circle sheet sticker: 66x200 packs 2 per sheet and is orderable</t>
        </is>
      </c>
      <c r="E168" s="35" t="inlineStr">
        <is>
          <t>expected</t>
        </is>
      </c>
      <c r="F168" s="34" t="n">
        <v>28721</v>
      </c>
      <c r="G168" s="34" t="inlineStr"/>
      <c r="H168" s="34" t="inlineStr">
        <is>
          <t>test-results/dev-2-full.json</t>
        </is>
      </c>
    </row>
    <row r="169">
      <c r="A169" s="34" t="inlineStr">
        <is>
          <t>Full desktop</t>
        </is>
      </c>
      <c r="B169" s="34" t="inlineStr">
        <is>
          <t>chromium-desktop</t>
        </is>
      </c>
      <c r="C169" s="34" t="inlineStr">
        <is>
          <t>MS-SHT-006</t>
        </is>
      </c>
      <c r="D169" s="34" t="inlineStr">
        <is>
          <t>MS-SHT-006 circle sheet sticker: 98x98 packs 1 per sheet and is refused</t>
        </is>
      </c>
      <c r="E169" s="35" t="inlineStr">
        <is>
          <t>expected</t>
        </is>
      </c>
      <c r="F169" s="34" t="n">
        <v>22721</v>
      </c>
      <c r="G169" s="34" t="inlineStr"/>
      <c r="H169" s="34" t="inlineStr">
        <is>
          <t>test-results/dev-2-full.json</t>
        </is>
      </c>
    </row>
    <row r="170">
      <c r="A170" s="34" t="inlineStr">
        <is>
          <t>Full desktop</t>
        </is>
      </c>
      <c r="B170" s="34" t="inlineStr">
        <is>
          <t>chromium-desktop</t>
        </is>
      </c>
      <c r="C170" s="34" t="inlineStr">
        <is>
          <t>MS-SHT-006</t>
        </is>
      </c>
      <c r="D170" s="34" t="inlineStr">
        <is>
          <t>MS-SHT-006 circle sheet sticker: 138x98 packs 1 per sheet and is refused</t>
        </is>
      </c>
      <c r="E170" s="35" t="inlineStr">
        <is>
          <t>expected</t>
        </is>
      </c>
      <c r="F170" s="34" t="n">
        <v>13833</v>
      </c>
      <c r="G170" s="34" t="inlineStr"/>
      <c r="H170" s="34" t="inlineStr">
        <is>
          <t>test-results/dev-2-full.json</t>
        </is>
      </c>
    </row>
    <row r="171">
      <c r="A171" s="34" t="inlineStr">
        <is>
          <t>Full desktop</t>
        </is>
      </c>
      <c r="B171" s="34" t="inlineStr">
        <is>
          <t>chromium-desktop</t>
        </is>
      </c>
      <c r="C171" s="34" t="inlineStr">
        <is>
          <t>MS-SHT-006</t>
        </is>
      </c>
      <c r="D171" s="34" t="inlineStr">
        <is>
          <t>MS-SHT-006 circle sheet sticker: 67x200 packs 1 per sheet and is refused</t>
        </is>
      </c>
      <c r="E171" s="35" t="inlineStr">
        <is>
          <t>expected</t>
        </is>
      </c>
      <c r="F171" s="34" t="n">
        <v>14582</v>
      </c>
      <c r="G171" s="34" t="inlineStr"/>
      <c r="H171" s="34" t="inlineStr">
        <is>
          <t>test-results/dev-2-full.json</t>
        </is>
      </c>
    </row>
    <row r="172">
      <c r="A172" s="34" t="inlineStr">
        <is>
          <t>Full desktop</t>
        </is>
      </c>
      <c r="B172" s="34" t="inlineStr">
        <is>
          <t>chromium-desktop</t>
        </is>
      </c>
      <c r="C172" s="34" t="inlineStr">
        <is>
          <t>MS-SHT-006</t>
        </is>
      </c>
      <c r="D172" s="34" t="inlineStr">
        <is>
          <t>MS-SHT-006 circle sheet sticker: 123x123 packs 1 per sheet and is refused</t>
        </is>
      </c>
      <c r="E172" s="35" t="inlineStr">
        <is>
          <t>expected</t>
        </is>
      </c>
      <c r="F172" s="34" t="n">
        <v>35541</v>
      </c>
      <c r="G172" s="34" t="inlineStr"/>
      <c r="H172" s="34" t="inlineStr">
        <is>
          <t>test-results/dev-2-full.json</t>
        </is>
      </c>
    </row>
    <row r="173">
      <c r="A173" s="34" t="inlineStr">
        <is>
          <t>Full desktop</t>
        </is>
      </c>
      <c r="B173" s="34" t="inlineStr">
        <is>
          <t>chromium-desktop</t>
        </is>
      </c>
      <c r="C173" s="34" t="inlineStr">
        <is>
          <t>MS-SHT-006</t>
        </is>
      </c>
      <c r="D173" s="34" t="inlineStr">
        <is>
          <t>MS-SHT-006 circle sheet sticker: 139x97 packs 0 per sheet and is refused</t>
        </is>
      </c>
      <c r="E173" s="35" t="inlineStr">
        <is>
          <t>expected</t>
        </is>
      </c>
      <c r="F173" s="34" t="n">
        <v>31270</v>
      </c>
      <c r="G173" s="34" t="inlineStr"/>
      <c r="H173" s="34" t="inlineStr">
        <is>
          <t>test-results/dev-2-full.json</t>
        </is>
      </c>
    </row>
    <row r="174">
      <c r="A174" s="34" t="inlineStr">
        <is>
          <t>Full desktop</t>
        </is>
      </c>
      <c r="B174" s="34" t="inlineStr">
        <is>
          <t>chromium-desktop</t>
        </is>
      </c>
      <c r="C174" s="34" t="inlineStr">
        <is>
          <t>MS-SHT-006</t>
        </is>
      </c>
      <c r="D174" s="34" t="inlineStr">
        <is>
          <t>MS-SHT-006 circle sheet sticker: 200x300 packs 0 per sheet and is refused</t>
        </is>
      </c>
      <c r="E174" s="35" t="inlineStr">
        <is>
          <t>expected</t>
        </is>
      </c>
      <c r="F174" s="34" t="n">
        <v>17337</v>
      </c>
      <c r="G174" s="34" t="inlineStr"/>
      <c r="H174" s="34" t="inlineStr">
        <is>
          <t>test-results/dev-2-full.json</t>
        </is>
      </c>
    </row>
    <row r="175">
      <c r="A175" s="34" t="inlineStr">
        <is>
          <t>Full desktop</t>
        </is>
      </c>
      <c r="B175" s="34" t="inlineStr">
        <is>
          <t>chromium-desktop</t>
        </is>
      </c>
      <c r="C175" s="34" t="inlineStr">
        <is>
          <t>MS-SHT-003</t>
        </is>
      </c>
      <c r="D175" s="34" t="inlineStr">
        <is>
          <t>MS-SHT-003 원형 판스티커 preset sizes match the shape family table and all fit at least two per sheet</t>
        </is>
      </c>
      <c r="E175" s="35" t="inlineStr">
        <is>
          <t>expected</t>
        </is>
      </c>
      <c r="F175" s="34" t="n">
        <v>16345</v>
      </c>
      <c r="G175" s="34" t="inlineStr"/>
      <c r="H175" s="34" t="inlineStr">
        <is>
          <t>test-results/dev-2-full.json</t>
        </is>
      </c>
    </row>
    <row r="176">
      <c r="A176" s="34" t="inlineStr">
        <is>
          <t>Full desktop</t>
        </is>
      </c>
      <c r="B176" s="34" t="inlineStr">
        <is>
          <t>chromium-desktop</t>
        </is>
      </c>
      <c r="C176" s="34" t="inlineStr">
        <is>
          <t>MS-SHT-003</t>
        </is>
      </c>
      <c r="D176" s="34" t="inlineStr">
        <is>
          <t>MS-SHT-003 타원형 판스티커 preset sizes match the shape family table and all fit at least two per sheet</t>
        </is>
      </c>
      <c r="E176" s="35" t="inlineStr">
        <is>
          <t>expected</t>
        </is>
      </c>
      <c r="F176" s="34" t="n">
        <v>21214</v>
      </c>
      <c r="G176" s="34" t="inlineStr"/>
      <c r="H176" s="34" t="inlineStr">
        <is>
          <t>test-results/dev-2-full.json</t>
        </is>
      </c>
    </row>
    <row r="177">
      <c r="A177" s="34" t="inlineStr">
        <is>
          <t>Full desktop</t>
        </is>
      </c>
      <c r="B177" s="34" t="inlineStr">
        <is>
          <t>chromium-desktop</t>
        </is>
      </c>
      <c r="C177" s="34" t="inlineStr">
        <is>
          <t>MS-SHT-003</t>
        </is>
      </c>
      <c r="D177" s="34" t="inlineStr">
        <is>
          <t>MS-SHT-003 정사각형 판스티커 preset sizes match the shape family table and all fit at least two per sheet</t>
        </is>
      </c>
      <c r="E177" s="35" t="inlineStr">
        <is>
          <t>expected</t>
        </is>
      </c>
      <c r="F177" s="34" t="n">
        <v>20109</v>
      </c>
      <c r="G177" s="34" t="inlineStr"/>
      <c r="H177" s="34" t="inlineStr">
        <is>
          <t>test-results/dev-2-full.json</t>
        </is>
      </c>
    </row>
    <row r="178">
      <c r="A178" s="34" t="inlineStr">
        <is>
          <t>Full desktop</t>
        </is>
      </c>
      <c r="B178" s="34" t="inlineStr">
        <is>
          <t>chromium-desktop</t>
        </is>
      </c>
      <c r="C178" s="34" t="inlineStr">
        <is>
          <t>MS-SHT-003</t>
        </is>
      </c>
      <c r="D178" s="34" t="inlineStr">
        <is>
          <t>MS-SHT-003 직사각형 판스티커 preset sizes match the shape family table and all fit at least two per sheet</t>
        </is>
      </c>
      <c r="E178" s="35" t="inlineStr">
        <is>
          <t>expected</t>
        </is>
      </c>
      <c r="F178" s="34" t="n">
        <v>13087</v>
      </c>
      <c r="G178" s="34" t="inlineStr"/>
      <c r="H178" s="34" t="inlineStr">
        <is>
          <t>test-results/dev-2-full.json</t>
        </is>
      </c>
    </row>
    <row r="179">
      <c r="A179" s="34" t="inlineStr">
        <is>
          <t>Full desktop</t>
        </is>
      </c>
      <c r="B179" s="34" t="inlineStr">
        <is>
          <t>chromium-desktop</t>
        </is>
      </c>
      <c r="C179" s="34" t="inlineStr">
        <is>
          <t>MS-SHT-003</t>
        </is>
      </c>
      <c r="D179" s="34" t="inlineStr">
        <is>
          <t>MS-SHT-003 둥근 사각 판스티커 preset sizes match the shape family table and all fit at least two per sheet</t>
        </is>
      </c>
      <c r="E179" s="35" t="inlineStr">
        <is>
          <t>expected</t>
        </is>
      </c>
      <c r="F179" s="34" t="n">
        <v>22882</v>
      </c>
      <c r="G179" s="34" t="inlineStr"/>
      <c r="H179" s="34" t="inlineStr">
        <is>
          <t>test-results/dev-2-full.json</t>
        </is>
      </c>
    </row>
    <row r="180">
      <c r="A180" s="34" t="inlineStr">
        <is>
          <t>Full desktop</t>
        </is>
      </c>
      <c r="B180" s="34" t="inlineStr">
        <is>
          <t>chromium-desktop</t>
        </is>
      </c>
      <c r="C180" s="34" t="inlineStr">
        <is>
          <t>MS-SHT-004</t>
        </is>
      </c>
      <c r="D180" s="34" t="inlineStr">
        <is>
          <t>MS-SHT-004 circle sheet sticker: both cart edit dialogs reject a one-per-sheet custom size</t>
        </is>
      </c>
      <c r="E180" s="35" t="inlineStr">
        <is>
          <t>expected</t>
        </is>
      </c>
      <c r="F180" s="34" t="n">
        <v>34401</v>
      </c>
      <c r="G180" s="34" t="inlineStr"/>
      <c r="H180" s="34" t="inlineStr">
        <is>
          <t>test-results/dev-2-full.json</t>
        </is>
      </c>
    </row>
    <row r="181">
      <c r="A181" s="34" t="inlineStr">
        <is>
          <t>Full desktop</t>
        </is>
      </c>
      <c r="B181" s="34" t="inlineStr">
        <is>
          <t>chromium-desktop</t>
        </is>
      </c>
      <c r="C181" s="34" t="inlineStr">
        <is>
          <t>MS-SHT-005</t>
        </is>
      </c>
      <c r="D181" s="34" t="inlineStr">
        <is>
          <t>MS-SHT-005 circle sheet sticker: the A5 배치 가이드 modal rejects a one-per-sheet custom size</t>
        </is>
      </c>
      <c r="E181" s="35" t="inlineStr">
        <is>
          <t>expected</t>
        </is>
      </c>
      <c r="F181" s="34" t="n">
        <v>11637</v>
      </c>
      <c r="G181" s="34" t="inlineStr"/>
      <c r="H181" s="34" t="inlineStr">
        <is>
          <t>test-results/dev-2-full.json</t>
        </is>
      </c>
    </row>
    <row r="182">
      <c r="A182" s="34" t="inlineStr">
        <is>
          <t>Full desktop</t>
        </is>
      </c>
      <c r="B182" s="34" t="inlineStr">
        <is>
          <t>chromium-desktop</t>
        </is>
      </c>
      <c r="C182" s="34" t="inlineStr">
        <is>
          <t>MS-UX-001</t>
        </is>
      </c>
      <c r="D182" s="34" t="inlineStr">
        <is>
          <t>MS-UX-001 core controls are named and keyboard reachable</t>
        </is>
      </c>
      <c r="E182" s="35" t="inlineStr">
        <is>
          <t>expected</t>
        </is>
      </c>
      <c r="F182" s="34" t="n">
        <v>12045</v>
      </c>
      <c r="G182" s="34" t="inlineStr"/>
      <c r="H182" s="34" t="inlineStr">
        <is>
          <t>test-results/dev-2-full.json</t>
        </is>
      </c>
    </row>
    <row r="183">
      <c r="A183" s="34" t="inlineStr">
        <is>
          <t>Full desktop</t>
        </is>
      </c>
      <c r="B183" s="34" t="inlineStr">
        <is>
          <t>chromium-desktop</t>
        </is>
      </c>
      <c r="C183" s="34" t="inlineStr">
        <is>
          <t>MS-UX-004</t>
        </is>
      </c>
      <c r="D183" s="34" t="inlineStr">
        <is>
          <t>MS-UX-004 home has no new WCAG AA violations</t>
        </is>
      </c>
      <c r="E183" s="35" t="inlineStr">
        <is>
          <t>expected</t>
        </is>
      </c>
      <c r="F183" s="34" t="n">
        <v>12146</v>
      </c>
      <c r="G183" s="34" t="inlineStr"/>
      <c r="H183" s="34" t="inlineStr">
        <is>
          <t>test-results/dev-2-full.json</t>
        </is>
      </c>
    </row>
    <row r="184">
      <c r="A184" s="34" t="inlineStr">
        <is>
          <t>Full desktop</t>
        </is>
      </c>
      <c r="B184" s="34" t="inlineStr">
        <is>
          <t>chromium-desktop</t>
        </is>
      </c>
      <c r="C184" s="34" t="inlineStr">
        <is>
          <t>MS-UX-004</t>
        </is>
      </c>
      <c r="D184" s="34" t="inlineStr">
        <is>
          <t>MS-UX-004 sticker category has no new WCAG AA violations</t>
        </is>
      </c>
      <c r="E184" s="35" t="inlineStr">
        <is>
          <t>expected</t>
        </is>
      </c>
      <c r="F184" s="34" t="n">
        <v>11439</v>
      </c>
      <c r="G184" s="34" t="inlineStr"/>
      <c r="H184" s="34" t="inlineStr">
        <is>
          <t>test-results/dev-2-full.json</t>
        </is>
      </c>
    </row>
    <row r="185">
      <c r="A185" s="34" t="inlineStr">
        <is>
          <t>Full desktop</t>
        </is>
      </c>
      <c r="B185" s="34" t="inlineStr">
        <is>
          <t>chromium-desktop</t>
        </is>
      </c>
      <c r="C185" s="34" t="inlineStr">
        <is>
          <t>MS-UX-004</t>
        </is>
      </c>
      <c r="D185" s="34" t="inlineStr">
        <is>
          <t>MS-UX-004 die-cut sticker product has no new WCAG AA violations</t>
        </is>
      </c>
      <c r="E185" s="35" t="inlineStr">
        <is>
          <t>expected</t>
        </is>
      </c>
      <c r="F185" s="34" t="n">
        <v>10831</v>
      </c>
      <c r="G185" s="34" t="inlineStr"/>
      <c r="H185" s="34" t="inlineStr">
        <is>
          <t>test-results/dev-2-full.json</t>
        </is>
      </c>
    </row>
    <row r="186">
      <c r="A186" s="34" t="inlineStr">
        <is>
          <t>Full desktop</t>
        </is>
      </c>
      <c r="B186" s="34" t="inlineStr">
        <is>
          <t>chromium-desktop</t>
        </is>
      </c>
      <c r="C186" s="34" t="inlineStr">
        <is>
          <t>MS-UX-004</t>
        </is>
      </c>
      <c r="D186" s="34" t="inlineStr">
        <is>
          <t>MS-UX-004 FAQ has no new WCAG AA violations</t>
        </is>
      </c>
      <c r="E186" s="35" t="inlineStr">
        <is>
          <t>expected</t>
        </is>
      </c>
      <c r="F186" s="34" t="n">
        <v>9653</v>
      </c>
      <c r="G186" s="34" t="inlineStr"/>
      <c r="H186" s="34" t="inlineStr">
        <is>
          <t>test-results/dev-2-full.json</t>
        </is>
      </c>
    </row>
    <row r="187">
      <c r="A187" s="34" t="inlineStr">
        <is>
          <t>Full desktop</t>
        </is>
      </c>
      <c r="B187" s="34" t="inlineStr">
        <is>
          <t>chromium-desktop</t>
        </is>
      </c>
      <c r="C187" s="34" t="inlineStr">
        <is>
          <t>MS-UX-004</t>
        </is>
      </c>
      <c r="D187" s="34" t="inlineStr">
        <is>
          <t>MS-UX-004 login has no new WCAG AA violations</t>
        </is>
      </c>
      <c r="E187" s="35" t="inlineStr">
        <is>
          <t>expected</t>
        </is>
      </c>
      <c r="F187" s="34" t="n">
        <v>9082</v>
      </c>
      <c r="G187" s="34" t="inlineStr"/>
      <c r="H187" s="34" t="inlineStr">
        <is>
          <t>test-results/dev-2-full.json</t>
        </is>
      </c>
    </row>
    <row r="188">
      <c r="A188" s="34" t="inlineStr">
        <is>
          <t>Full desktop</t>
        </is>
      </c>
      <c r="B188" s="34" t="inlineStr">
        <is>
          <t>chromium-desktop</t>
        </is>
      </c>
      <c r="C188" s="34" t="inlineStr">
        <is>
          <t>MS-UX-004</t>
        </is>
      </c>
      <c r="D188" s="34" t="inlineStr">
        <is>
          <t>MS-UX-004 empty cart has no new WCAG AA violations</t>
        </is>
      </c>
      <c r="E188" s="35" t="inlineStr">
        <is>
          <t>expected</t>
        </is>
      </c>
      <c r="F188" s="34" t="n">
        <v>8444</v>
      </c>
      <c r="G188" s="34" t="inlineStr"/>
      <c r="H188" s="34" t="inlineStr">
        <is>
          <t>test-results/dev-2-full.json</t>
        </is>
      </c>
    </row>
    <row r="189">
      <c r="A189" s="34" t="inlineStr">
        <is>
          <t>Full desktop</t>
        </is>
      </c>
      <c r="B189" s="34" t="inlineStr">
        <is>
          <t>chromium-desktop</t>
        </is>
      </c>
      <c r="C189" s="34" t="inlineStr">
        <is>
          <t>MS-UX-003</t>
        </is>
      </c>
      <c r="D189" s="34" t="inlineStr">
        <is>
          <t>MS-UX-003 unknown route serves the 404 page with a working way back home</t>
        </is>
      </c>
      <c r="E189" s="35" t="inlineStr">
        <is>
          <t>expected</t>
        </is>
      </c>
      <c r="F189" s="34" t="n">
        <v>14809</v>
      </c>
      <c r="G189" s="34" t="inlineStr"/>
      <c r="H189" s="34" t="inlineStr">
        <is>
          <t>test-results/dev-2-full.json</t>
        </is>
      </c>
    </row>
    <row r="190">
      <c r="A190" s="34" t="inlineStr">
        <is>
          <t>Focused replay</t>
        </is>
      </c>
      <c r="B190" s="34" t="inlineStr">
        <is>
          <t>chromium-desktop</t>
        </is>
      </c>
      <c r="C190" s="34" t="inlineStr">
        <is>
          <t>MS-AUTH-005</t>
        </is>
      </c>
      <c r="D190" s="34" t="inlineStr">
        <is>
          <t>MS-AUTH-005 invalid credentials fail safely and keep the user anonymous @validation</t>
        </is>
      </c>
      <c r="E190" s="37" t="inlineStr">
        <is>
          <t>unexpected</t>
        </is>
      </c>
      <c r="F190" s="34" t="n">
        <v>24016</v>
      </c>
      <c r="G190" s="34" t="inlineStr">
        <is>
          <t>Error: Unexpected browser console errors or warnings</t>
        </is>
      </c>
      <c r="H190" s="34" t="inlineStr">
        <is>
          <t>test-results/dev-2-triage.json</t>
        </is>
      </c>
    </row>
    <row r="191">
      <c r="A191" s="34" t="inlineStr">
        <is>
          <t>Focused replay</t>
        </is>
      </c>
      <c r="B191" s="34" t="inlineStr">
        <is>
          <t>chromium-desktop</t>
        </is>
      </c>
      <c r="C191" s="34" t="inlineStr">
        <is>
          <t>MS-CHK-003</t>
        </is>
      </c>
      <c r="D191" s="34" t="inlineStr">
        <is>
          <t>MS-CHK-003 checkout blocks payment submission when required fields are blank</t>
        </is>
      </c>
      <c r="E191" s="35" t="inlineStr">
        <is>
          <t>expected</t>
        </is>
      </c>
      <c r="F191" s="34" t="n">
        <v>21079</v>
      </c>
      <c r="G191" s="34" t="inlineStr"/>
      <c r="H191" s="34" t="inlineStr">
        <is>
          <t>test-results/dev-2-triage.json</t>
        </is>
      </c>
    </row>
    <row r="192">
      <c r="A192" s="34" t="inlineStr">
        <is>
          <t>Focused replay</t>
        </is>
      </c>
      <c r="B192" s="34" t="inlineStr">
        <is>
          <t>chromium-desktop</t>
        </is>
      </c>
      <c r="C192" s="34" t="inlineStr">
        <is>
          <t>MS-NAV-006</t>
        </is>
      </c>
      <c r="D192" s="34" t="inlineStr">
        <is>
          <t>MS-NAV-006 footer legal and support links are reachable</t>
        </is>
      </c>
      <c r="E192" s="35" t="inlineStr">
        <is>
          <t>expected</t>
        </is>
      </c>
      <c r="F192" s="34" t="n">
        <v>17628</v>
      </c>
      <c r="G192" s="34" t="inlineStr"/>
      <c r="H192" s="34" t="inlineStr">
        <is>
          <t>test-results/dev-2-triage.json</t>
        </is>
      </c>
    </row>
    <row r="193">
      <c r="A193" s="34" t="inlineStr">
        <is>
          <t>Cross-browser critical</t>
        </is>
      </c>
      <c r="B193" s="34" t="inlineStr">
        <is>
          <t>firefox-desktop</t>
        </is>
      </c>
      <c r="C193" s="34" t="inlineStr">
        <is>
          <t>MS-AUTH-002</t>
        </is>
      </c>
      <c r="D193" s="34" t="inlineStr">
        <is>
          <t>MS-AUTH-002 member login form exposes expected controls</t>
        </is>
      </c>
      <c r="E193" s="37" t="inlineStr">
        <is>
          <t>unexpected</t>
        </is>
      </c>
      <c r="F193" s="34" t="n">
        <v>11372</v>
      </c>
      <c r="G193" s="34" t="inlineStr">
        <is>
          <t>Error: Unexpected browser console errors or warnings</t>
        </is>
      </c>
      <c r="H193" s="34" t="inlineStr">
        <is>
          <t>test-results/dev-2-browsers.json</t>
        </is>
      </c>
    </row>
    <row r="194">
      <c r="A194" s="34" t="inlineStr">
        <is>
          <t>Cross-browser critical</t>
        </is>
      </c>
      <c r="B194" s="34" t="inlineStr">
        <is>
          <t>webkit-desktop</t>
        </is>
      </c>
      <c r="C194" s="34" t="inlineStr">
        <is>
          <t>MS-AUTH-002</t>
        </is>
      </c>
      <c r="D194" s="34" t="inlineStr">
        <is>
          <t>MS-AUTH-002 member login form exposes expected controls</t>
        </is>
      </c>
      <c r="E194" s="35" t="inlineStr">
        <is>
          <t>expected</t>
        </is>
      </c>
      <c r="F194" s="34" t="n">
        <v>39231</v>
      </c>
      <c r="G194" s="34" t="inlineStr"/>
      <c r="H194" s="34" t="inlineStr">
        <is>
          <t>test-results/dev-2-browsers.json</t>
        </is>
      </c>
    </row>
    <row r="195">
      <c r="A195" s="34" t="inlineStr">
        <is>
          <t>Cross-browser critical</t>
        </is>
      </c>
      <c r="B195" s="34" t="inlineStr">
        <is>
          <t>firefox-desktop</t>
        </is>
      </c>
      <c r="C195" s="34" t="inlineStr">
        <is>
          <t>MS-CFG-001</t>
        </is>
      </c>
      <c r="D195" s="34" t="inlineStr">
        <is>
          <t>MS-CFG-001 die-cut sticker supports size and quantity selection</t>
        </is>
      </c>
      <c r="E195" s="37" t="inlineStr">
        <is>
          <t>unexpected</t>
        </is>
      </c>
      <c r="F195" s="34" t="n">
        <v>31512</v>
      </c>
      <c r="G195" s="34" t="inlineStr">
        <is>
          <t>Error: Unexpected browser console errors or warnings | Error: Unexpected failed HTTP responses</t>
        </is>
      </c>
      <c r="H195" s="34" t="inlineStr">
        <is>
          <t>test-results/dev-2-browsers.json</t>
        </is>
      </c>
    </row>
    <row r="196">
      <c r="A196" s="34" t="inlineStr">
        <is>
          <t>Cross-browser critical</t>
        </is>
      </c>
      <c r="B196" s="34" t="inlineStr">
        <is>
          <t>webkit-desktop</t>
        </is>
      </c>
      <c r="C196" s="34" t="inlineStr">
        <is>
          <t>MS-CFG-001</t>
        </is>
      </c>
      <c r="D196" s="34" t="inlineStr">
        <is>
          <t>MS-CFG-001 die-cut sticker supports size and quantity selection</t>
        </is>
      </c>
      <c r="E196" s="35" t="inlineStr">
        <is>
          <t>expected</t>
        </is>
      </c>
      <c r="F196" s="34" t="n">
        <v>42562</v>
      </c>
      <c r="G196" s="34" t="inlineStr"/>
      <c r="H196" s="34" t="inlineStr">
        <is>
          <t>test-results/dev-2-browsers.json</t>
        </is>
      </c>
    </row>
    <row r="197">
      <c r="A197" s="34" t="inlineStr">
        <is>
          <t>Cross-browser critical</t>
        </is>
      </c>
      <c r="B197" s="34" t="inlineStr">
        <is>
          <t>firefox-desktop</t>
        </is>
      </c>
      <c r="C197" s="34" t="inlineStr">
        <is>
          <t>MS-NAV-001</t>
        </is>
      </c>
      <c r="D197" s="34" t="inlineStr">
        <is>
          <t>MS-NAV-001 homepage loads with critical public content</t>
        </is>
      </c>
      <c r="E197" s="37" t="inlineStr">
        <is>
          <t>unexpected</t>
        </is>
      </c>
      <c r="F197" s="34" t="n">
        <v>7002</v>
      </c>
      <c r="G197" s="34" t="inlineStr">
        <is>
          <t>Error: Unexpected browser console errors or warnings</t>
        </is>
      </c>
      <c r="H197" s="34" t="inlineStr">
        <is>
          <t>test-results/dev-2-browsers.json</t>
        </is>
      </c>
    </row>
    <row r="198">
      <c r="A198" s="34" t="inlineStr">
        <is>
          <t>Cross-browser critical</t>
        </is>
      </c>
      <c r="B198" s="34" t="inlineStr">
        <is>
          <t>firefox-desktop</t>
        </is>
      </c>
      <c r="C198" s="34" t="inlineStr">
        <is>
          <t>MS-NAV-003</t>
        </is>
      </c>
      <c r="D198" s="34" t="inlineStr">
        <is>
          <t>MS-NAV-003 header search opens and finds hologram sticker content</t>
        </is>
      </c>
      <c r="E198" s="37" t="inlineStr">
        <is>
          <t>unexpected</t>
        </is>
      </c>
      <c r="F198" s="34" t="n">
        <v>7711</v>
      </c>
      <c r="G198" s="34" t="inlineStr">
        <is>
          <t>Error: Unexpected browser console errors or warnings</t>
        </is>
      </c>
      <c r="H198" s="34" t="inlineStr">
        <is>
          <t>test-results/dev-2-browsers.json</t>
        </is>
      </c>
    </row>
    <row r="199">
      <c r="A199" s="34" t="inlineStr">
        <is>
          <t>Cross-browser critical</t>
        </is>
      </c>
      <c r="B199" s="34" t="inlineStr">
        <is>
          <t>firefox-desktop</t>
        </is>
      </c>
      <c r="C199" s="34" t="inlineStr">
        <is>
          <t>MS-NAV-004</t>
        </is>
      </c>
      <c r="D199" s="34" t="inlineStr">
        <is>
          <t>MS-NAV-004 empty cart opens without broken state</t>
        </is>
      </c>
      <c r="E199" s="37" t="inlineStr">
        <is>
          <t>unexpected</t>
        </is>
      </c>
      <c r="F199" s="34" t="n">
        <v>8736</v>
      </c>
      <c r="G199" s="34" t="inlineStr">
        <is>
          <t>Error: Unexpected browser console errors or warnings</t>
        </is>
      </c>
      <c r="H199" s="34" t="inlineStr">
        <is>
          <t>test-results/dev-2-browsers.json</t>
        </is>
      </c>
    </row>
    <row r="200">
      <c r="A200" s="34" t="inlineStr">
        <is>
          <t>Cross-browser critical</t>
        </is>
      </c>
      <c r="B200" s="34" t="inlineStr">
        <is>
          <t>webkit-desktop</t>
        </is>
      </c>
      <c r="C200" s="34" t="inlineStr">
        <is>
          <t>MS-NAV-001</t>
        </is>
      </c>
      <c r="D200" s="34" t="inlineStr">
        <is>
          <t>MS-NAV-001 homepage loads with critical public content</t>
        </is>
      </c>
      <c r="E200" s="35" t="inlineStr">
        <is>
          <t>expected</t>
        </is>
      </c>
      <c r="F200" s="34" t="n">
        <v>27042</v>
      </c>
      <c r="G200" s="34" t="inlineStr"/>
      <c r="H200" s="34" t="inlineStr">
        <is>
          <t>test-results/dev-2-browsers.json</t>
        </is>
      </c>
    </row>
    <row r="201">
      <c r="A201" s="34" t="inlineStr">
        <is>
          <t>Cross-browser critical</t>
        </is>
      </c>
      <c r="B201" s="34" t="inlineStr">
        <is>
          <t>webkit-desktop</t>
        </is>
      </c>
      <c r="C201" s="34" t="inlineStr">
        <is>
          <t>MS-NAV-003</t>
        </is>
      </c>
      <c r="D201" s="34" t="inlineStr">
        <is>
          <t>MS-NAV-003 header search opens and finds hologram sticker content</t>
        </is>
      </c>
      <c r="E201" s="37" t="inlineStr">
        <is>
          <t>unexpected</t>
        </is>
      </c>
      <c r="F201" s="34" t="n">
        <v>14768</v>
      </c>
      <c r="G201" s="34" t="inlineStr">
        <is>
          <t>Error: Unexpected browser console errors or warnings</t>
        </is>
      </c>
      <c r="H201" s="34" t="inlineStr">
        <is>
          <t>test-results/dev-2-browsers.json</t>
        </is>
      </c>
    </row>
    <row r="202">
      <c r="A202" s="34" t="inlineStr">
        <is>
          <t>Cross-browser critical</t>
        </is>
      </c>
      <c r="B202" s="34" t="inlineStr">
        <is>
          <t>webkit-desktop</t>
        </is>
      </c>
      <c r="C202" s="34" t="inlineStr">
        <is>
          <t>MS-NAV-004</t>
        </is>
      </c>
      <c r="D202" s="34" t="inlineStr">
        <is>
          <t>MS-NAV-004 empty cart opens without broken state</t>
        </is>
      </c>
      <c r="E202" s="37" t="inlineStr">
        <is>
          <t>unexpected</t>
        </is>
      </c>
      <c r="F202" s="34" t="n">
        <v>11776</v>
      </c>
      <c r="G202" s="34" t="inlineStr">
        <is>
          <t>Error: Unexpected browser console errors or warnings</t>
        </is>
      </c>
      <c r="H202" s="34" t="inlineStr">
        <is>
          <t>test-results/dev-2-browsers.json</t>
        </is>
      </c>
    </row>
    <row r="203">
      <c r="A203" s="34" t="inlineStr">
        <is>
          <t>Mobile initial</t>
        </is>
      </c>
      <c r="B203" s="34" t="inlineStr">
        <is>
          <t>chromium-mobile</t>
        </is>
      </c>
      <c r="C203" s="34" t="inlineStr">
        <is>
          <t>MS-NAV-008</t>
        </is>
      </c>
      <c r="D203" s="34" t="inlineStr">
        <is>
          <t>MS-NAV-008 home, search, cart, product config, and inquiry work on mobile</t>
        </is>
      </c>
      <c r="E203" s="37" t="inlineStr">
        <is>
          <t>unexpected</t>
        </is>
      </c>
      <c r="F203" s="34" t="n">
        <v>65717</v>
      </c>
      <c r="G203" s="34" t="inlineStr">
        <is>
          <t>Test timeout of 60000ms exceeded. | Error: page.goto: Test timeout of 60000ms exceeded.</t>
        </is>
      </c>
      <c r="H203" s="34" t="inlineStr">
        <is>
          <t>test-results/dev-2-mobile.json</t>
        </is>
      </c>
    </row>
    <row r="204">
      <c r="A204" s="34" t="inlineStr">
        <is>
          <t>Mobile corrected</t>
        </is>
      </c>
      <c r="B204" s="34" t="inlineStr">
        <is>
          <t>chromium-mobile</t>
        </is>
      </c>
      <c r="C204" s="34" t="inlineStr">
        <is>
          <t>MS-NAV-008</t>
        </is>
      </c>
      <c r="D204" s="34" t="inlineStr">
        <is>
          <t>MS-NAV-008 home, search, cart, product config, and inquiry work on mobile</t>
        </is>
      </c>
      <c r="E204" s="35" t="inlineStr">
        <is>
          <t>expected</t>
        </is>
      </c>
      <c r="F204" s="34" t="n">
        <v>17669</v>
      </c>
      <c r="G204" s="34" t="inlineStr"/>
      <c r="H204" s="34" t="inlineStr">
        <is>
          <t>test-results/dev-2-mobile-recheck.json</t>
        </is>
      </c>
    </row>
  </sheetData>
  <autoFilter ref="A9:H20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2026-10-28T00:38:22Z</dcterms:modified>
  <cp:lastModifiedBy>Trainee81.glophics@gmail.com</cp:lastModifiedBy>
</cp:coreProperties>
</file>